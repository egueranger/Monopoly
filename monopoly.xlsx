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10201f9b48d6a/Documents/Projets Github/Monopoly/"/>
    </mc:Choice>
  </mc:AlternateContent>
  <xr:revisionPtr revIDLastSave="0" documentId="8_{81066DC3-CDF7-4440-A03A-B45C35A2AD96}" xr6:coauthVersionLast="47" xr6:coauthVersionMax="47" xr10:uidLastSave="{00000000-0000-0000-0000-000000000000}"/>
  <bookViews>
    <workbookView xWindow="-110" yWindow="-110" windowWidth="19420" windowHeight="11020" xr2:uid="{8B39A844-2D14-47D7-8D56-820D7235C1DC}"/>
  </bookViews>
  <sheets>
    <sheet name="CAPEX" sheetId="7" r:id="rId1"/>
    <sheet name="Rents" sheetId="10" r:id="rId2"/>
    <sheet name="GrossROC" sheetId="13" r:id="rId3"/>
    <sheet name="WPROC" sheetId="14" r:id="rId4"/>
    <sheet name="Sheet5" sheetId="1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4" l="1"/>
  <c r="H23" i="14"/>
  <c r="G23" i="14"/>
  <c r="F23" i="14"/>
  <c r="E23" i="14"/>
  <c r="D23" i="14"/>
  <c r="I22" i="14"/>
  <c r="H22" i="14"/>
  <c r="G22" i="14"/>
  <c r="F22" i="14"/>
  <c r="E22" i="14"/>
  <c r="D22" i="14"/>
  <c r="I21" i="14"/>
  <c r="H21" i="14"/>
  <c r="G21" i="14"/>
  <c r="F21" i="14"/>
  <c r="E21" i="14"/>
  <c r="D21" i="14"/>
  <c r="I20" i="14"/>
  <c r="H20" i="14"/>
  <c r="G20" i="14"/>
  <c r="F20" i="14"/>
  <c r="E20" i="14"/>
  <c r="D20" i="14"/>
  <c r="I19" i="14"/>
  <c r="H19" i="14"/>
  <c r="G19" i="14"/>
  <c r="F19" i="14"/>
  <c r="E19" i="14"/>
  <c r="D19" i="14"/>
  <c r="I18" i="14"/>
  <c r="H18" i="14"/>
  <c r="G18" i="14"/>
  <c r="F18" i="14"/>
  <c r="E18" i="14"/>
  <c r="D18" i="14"/>
  <c r="I17" i="14"/>
  <c r="H17" i="14"/>
  <c r="G17" i="14"/>
  <c r="F17" i="14"/>
  <c r="E17" i="14"/>
  <c r="D17" i="14"/>
  <c r="I16" i="14"/>
  <c r="H16" i="14"/>
  <c r="G16" i="14"/>
  <c r="F16" i="14"/>
  <c r="E16" i="14"/>
  <c r="D16" i="14"/>
  <c r="I15" i="14"/>
  <c r="H15" i="14"/>
  <c r="G15" i="14"/>
  <c r="F15" i="14"/>
  <c r="E15" i="14"/>
  <c r="D15" i="14"/>
  <c r="I14" i="14"/>
  <c r="H14" i="14"/>
  <c r="G14" i="14"/>
  <c r="F14" i="14"/>
  <c r="E14" i="14"/>
  <c r="D14" i="14"/>
  <c r="I13" i="14"/>
  <c r="H13" i="14"/>
  <c r="G13" i="14"/>
  <c r="F13" i="14"/>
  <c r="E13" i="14"/>
  <c r="D13" i="14"/>
  <c r="I12" i="14"/>
  <c r="H12" i="14"/>
  <c r="G12" i="14"/>
  <c r="F12" i="14"/>
  <c r="E12" i="14"/>
  <c r="D12" i="14"/>
  <c r="I11" i="14"/>
  <c r="H11" i="14"/>
  <c r="G11" i="14"/>
  <c r="F11" i="14"/>
  <c r="E11" i="14"/>
  <c r="D11" i="14"/>
  <c r="I10" i="14"/>
  <c r="H10" i="14"/>
  <c r="G10" i="14"/>
  <c r="F10" i="14"/>
  <c r="E10" i="14"/>
  <c r="D10" i="14"/>
  <c r="I9" i="14"/>
  <c r="H9" i="14"/>
  <c r="G9" i="14"/>
  <c r="F9" i="14"/>
  <c r="E9" i="14"/>
  <c r="D9" i="14"/>
  <c r="I8" i="14"/>
  <c r="H8" i="14"/>
  <c r="G8" i="14"/>
  <c r="F8" i="14"/>
  <c r="E8" i="14"/>
  <c r="D8" i="14"/>
  <c r="I7" i="14"/>
  <c r="H7" i="14"/>
  <c r="G7" i="14"/>
  <c r="F7" i="14"/>
  <c r="E7" i="14"/>
  <c r="D7" i="14"/>
  <c r="I6" i="14"/>
  <c r="H6" i="14"/>
  <c r="G6" i="14"/>
  <c r="F6" i="14"/>
  <c r="E6" i="14"/>
  <c r="D6" i="14"/>
  <c r="I5" i="14"/>
  <c r="H5" i="14"/>
  <c r="G5" i="14"/>
  <c r="F5" i="14"/>
  <c r="E5" i="14"/>
  <c r="D5" i="14"/>
  <c r="I4" i="14"/>
  <c r="H4" i="14"/>
  <c r="G4" i="14"/>
  <c r="F4" i="14"/>
  <c r="E4" i="14"/>
  <c r="D4" i="14"/>
  <c r="I3" i="14"/>
  <c r="H3" i="14"/>
  <c r="G3" i="14"/>
  <c r="F3" i="14"/>
  <c r="E3" i="14"/>
  <c r="D3" i="14"/>
  <c r="I2" i="14"/>
  <c r="H2" i="14"/>
  <c r="G2" i="14"/>
  <c r="F2" i="14"/>
  <c r="E2" i="14"/>
  <c r="D2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G23" i="13"/>
  <c r="F23" i="13"/>
  <c r="E23" i="13"/>
  <c r="D23" i="13"/>
  <c r="C23" i="13"/>
  <c r="B23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G20" i="13"/>
  <c r="F20" i="13"/>
  <c r="E20" i="13"/>
  <c r="D20" i="13"/>
  <c r="C20" i="13"/>
  <c r="B20" i="13"/>
  <c r="G19" i="13"/>
  <c r="F19" i="13"/>
  <c r="E19" i="13"/>
  <c r="D19" i="13"/>
  <c r="C19" i="13"/>
  <c r="B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G16" i="13"/>
  <c r="F16" i="13"/>
  <c r="E16" i="13"/>
  <c r="D16" i="13"/>
  <c r="C16" i="13"/>
  <c r="B16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13" i="13"/>
  <c r="F13" i="13"/>
  <c r="E13" i="13"/>
  <c r="D13" i="13"/>
  <c r="C13" i="13"/>
  <c r="B13" i="13"/>
  <c r="G12" i="13"/>
  <c r="F12" i="13"/>
  <c r="E12" i="13"/>
  <c r="D12" i="13"/>
  <c r="C12" i="13"/>
  <c r="B12" i="13"/>
  <c r="G11" i="13"/>
  <c r="F11" i="13"/>
  <c r="E11" i="13"/>
  <c r="D11" i="13"/>
  <c r="C11" i="13"/>
  <c r="B11" i="13"/>
  <c r="G10" i="13"/>
  <c r="F10" i="13"/>
  <c r="E10" i="13"/>
  <c r="D10" i="13"/>
  <c r="C10" i="13"/>
  <c r="B10" i="13"/>
  <c r="G9" i="13"/>
  <c r="F9" i="13"/>
  <c r="E9" i="13"/>
  <c r="D9" i="13"/>
  <c r="C9" i="13"/>
  <c r="B9" i="13"/>
  <c r="G8" i="13"/>
  <c r="F8" i="13"/>
  <c r="E8" i="13"/>
  <c r="D8" i="13"/>
  <c r="C8" i="13"/>
  <c r="B8" i="13"/>
  <c r="G7" i="13"/>
  <c r="F7" i="13"/>
  <c r="E7" i="13"/>
  <c r="D7" i="13"/>
  <c r="C7" i="13"/>
  <c r="B7" i="13"/>
  <c r="G6" i="13"/>
  <c r="F6" i="13"/>
  <c r="E6" i="13"/>
  <c r="D6" i="13"/>
  <c r="C6" i="13"/>
  <c r="B6" i="13"/>
  <c r="G5" i="13"/>
  <c r="F5" i="13"/>
  <c r="E5" i="13"/>
  <c r="D5" i="13"/>
  <c r="C5" i="13"/>
  <c r="B5" i="13"/>
  <c r="G4" i="13"/>
  <c r="F4" i="13"/>
  <c r="E4" i="13"/>
  <c r="D4" i="13"/>
  <c r="C4" i="13"/>
  <c r="B4" i="13"/>
  <c r="G3" i="13"/>
  <c r="F3" i="13"/>
  <c r="E3" i="13"/>
  <c r="D3" i="13"/>
  <c r="C3" i="13"/>
  <c r="B3" i="13"/>
  <c r="G2" i="13"/>
  <c r="F2" i="13"/>
  <c r="E2" i="13"/>
  <c r="D2" i="13"/>
  <c r="C2" i="13"/>
  <c r="B2" i="13"/>
  <c r="B3" i="7"/>
  <c r="C2" i="7"/>
  <c r="D2" i="7" s="1"/>
  <c r="E2" i="7" s="1"/>
  <c r="F2" i="7" s="1"/>
  <c r="G2" i="7" s="1"/>
  <c r="B2" i="7"/>
  <c r="B23" i="7"/>
  <c r="C23" i="7" s="1"/>
  <c r="D23" i="7" s="1"/>
  <c r="E23" i="7" s="1"/>
  <c r="F23" i="7" s="1"/>
  <c r="G23" i="7" s="1"/>
  <c r="B22" i="7"/>
  <c r="C22" i="7" s="1"/>
  <c r="D22" i="7" s="1"/>
  <c r="E22" i="7" s="1"/>
  <c r="F22" i="7" s="1"/>
  <c r="G22" i="7" s="1"/>
  <c r="B21" i="7"/>
  <c r="C21" i="7" s="1"/>
  <c r="D21" i="7" s="1"/>
  <c r="E21" i="7" s="1"/>
  <c r="F21" i="7" s="1"/>
  <c r="G21" i="7" s="1"/>
  <c r="B20" i="7"/>
  <c r="C20" i="7" s="1"/>
  <c r="D20" i="7" s="1"/>
  <c r="E20" i="7" s="1"/>
  <c r="F20" i="7" s="1"/>
  <c r="G20" i="7" s="1"/>
  <c r="B19" i="7"/>
  <c r="C19" i="7" s="1"/>
  <c r="D19" i="7" s="1"/>
  <c r="E19" i="7" s="1"/>
  <c r="F19" i="7" s="1"/>
  <c r="G19" i="7" s="1"/>
  <c r="B18" i="7"/>
  <c r="C18" i="7" s="1"/>
  <c r="D18" i="7" s="1"/>
  <c r="E18" i="7" s="1"/>
  <c r="F18" i="7" s="1"/>
  <c r="G18" i="7" s="1"/>
  <c r="B17" i="7"/>
  <c r="C17" i="7" s="1"/>
  <c r="D17" i="7" s="1"/>
  <c r="E17" i="7" s="1"/>
  <c r="F17" i="7" s="1"/>
  <c r="G17" i="7" s="1"/>
  <c r="C16" i="7"/>
  <c r="D16" i="7" s="1"/>
  <c r="E16" i="7" s="1"/>
  <c r="F16" i="7" s="1"/>
  <c r="G16" i="7" s="1"/>
  <c r="B16" i="7"/>
  <c r="B15" i="7"/>
  <c r="C15" i="7" s="1"/>
  <c r="D15" i="7" s="1"/>
  <c r="E15" i="7" s="1"/>
  <c r="F15" i="7" s="1"/>
  <c r="G15" i="7" s="1"/>
  <c r="B14" i="7"/>
  <c r="C14" i="7" s="1"/>
  <c r="D14" i="7" s="1"/>
  <c r="E14" i="7" s="1"/>
  <c r="F14" i="7" s="1"/>
  <c r="G14" i="7" s="1"/>
  <c r="B13" i="7"/>
  <c r="C13" i="7" s="1"/>
  <c r="D13" i="7" s="1"/>
  <c r="E13" i="7" s="1"/>
  <c r="F13" i="7" s="1"/>
  <c r="G13" i="7" s="1"/>
  <c r="B12" i="7"/>
  <c r="C12" i="7" s="1"/>
  <c r="D12" i="7" s="1"/>
  <c r="E12" i="7" s="1"/>
  <c r="F12" i="7" s="1"/>
  <c r="G12" i="7" s="1"/>
  <c r="B11" i="7"/>
  <c r="C11" i="7" s="1"/>
  <c r="D11" i="7" s="1"/>
  <c r="E11" i="7" s="1"/>
  <c r="F11" i="7" s="1"/>
  <c r="G11" i="7" s="1"/>
  <c r="B10" i="7"/>
  <c r="C10" i="7" s="1"/>
  <c r="D10" i="7" s="1"/>
  <c r="E10" i="7" s="1"/>
  <c r="F10" i="7" s="1"/>
  <c r="G10" i="7" s="1"/>
  <c r="B9" i="7"/>
  <c r="C9" i="7" s="1"/>
  <c r="D9" i="7" s="1"/>
  <c r="E9" i="7" s="1"/>
  <c r="F9" i="7" s="1"/>
  <c r="G9" i="7" s="1"/>
  <c r="B8" i="7"/>
  <c r="C8" i="7" s="1"/>
  <c r="D8" i="7" s="1"/>
  <c r="E8" i="7" s="1"/>
  <c r="F8" i="7" s="1"/>
  <c r="G8" i="7" s="1"/>
  <c r="B7" i="7"/>
  <c r="C7" i="7" s="1"/>
  <c r="D7" i="7" s="1"/>
  <c r="E7" i="7" s="1"/>
  <c r="F7" i="7" s="1"/>
  <c r="G7" i="7" s="1"/>
  <c r="B6" i="7"/>
  <c r="C6" i="7" s="1"/>
  <c r="D6" i="7" s="1"/>
  <c r="E6" i="7" s="1"/>
  <c r="F6" i="7" s="1"/>
  <c r="G6" i="7" s="1"/>
  <c r="B5" i="7"/>
  <c r="C5" i="7" s="1"/>
  <c r="D5" i="7" s="1"/>
  <c r="E5" i="7" s="1"/>
  <c r="F5" i="7" s="1"/>
  <c r="G5" i="7" s="1"/>
  <c r="B4" i="7"/>
  <c r="C4" i="7" s="1"/>
  <c r="D4" i="7" s="1"/>
  <c r="E4" i="7" s="1"/>
  <c r="F4" i="7" s="1"/>
  <c r="G4" i="7" s="1"/>
  <c r="C3" i="7"/>
  <c r="D3" i="7" s="1"/>
  <c r="E3" i="7" s="1"/>
  <c r="F3" i="7" s="1"/>
  <c r="G3" i="7" s="1"/>
  <c r="I2" i="11" l="1"/>
  <c r="I5" i="11"/>
  <c r="I15" i="11"/>
  <c r="I16" i="11"/>
  <c r="I3" i="11"/>
  <c r="I21" i="11"/>
  <c r="I9" i="11"/>
  <c r="I6" i="11"/>
  <c r="I22" i="11"/>
  <c r="I20" i="11"/>
  <c r="I7" i="11"/>
  <c r="I13" i="11"/>
  <c r="I10" i="11"/>
  <c r="I12" i="11"/>
  <c r="I4" i="11"/>
  <c r="I11" i="11"/>
  <c r="I18" i="11"/>
  <c r="I19" i="11"/>
  <c r="I14" i="11"/>
  <c r="I17" i="11"/>
  <c r="I23" i="11"/>
  <c r="I8" i="11"/>
</calcChain>
</file>

<file path=xl/sharedStrings.xml><?xml version="1.0" encoding="utf-8"?>
<sst xmlns="http://schemas.openxmlformats.org/spreadsheetml/2006/main" count="143" uniqueCount="30">
  <si>
    <t>Boulevard de Belleville</t>
  </si>
  <si>
    <t>Rue Lecourbe</t>
  </si>
  <si>
    <t>Rue de Vaugirard</t>
  </si>
  <si>
    <t>Rue de Courcellles</t>
  </si>
  <si>
    <t>Av. de la République</t>
  </si>
  <si>
    <t>Boul. de la Vilettte</t>
  </si>
  <si>
    <t>Av. de Neuilly</t>
  </si>
  <si>
    <t>Rue de Paradis</t>
  </si>
  <si>
    <t>Av. Mozart</t>
  </si>
  <si>
    <t>Bd Saint-Michel</t>
  </si>
  <si>
    <t>Place Pigalle</t>
  </si>
  <si>
    <t>Av. Matignon</t>
  </si>
  <si>
    <t>Bd. Malheserbes</t>
  </si>
  <si>
    <t>Av. Henri-Martin</t>
  </si>
  <si>
    <t>Faub. Saint-Honoré</t>
  </si>
  <si>
    <t>Place de la Bourse</t>
  </si>
  <si>
    <t>Rue Lafayette</t>
  </si>
  <si>
    <t>Av. de Breteuil</t>
  </si>
  <si>
    <t>Av. Foch</t>
  </si>
  <si>
    <t>Bd. Des Capucines</t>
  </si>
  <si>
    <t>Av. Chaps-Elysées</t>
  </si>
  <si>
    <t>Rue de la Paix</t>
  </si>
  <si>
    <t>Naked terrain</t>
  </si>
  <si>
    <t>1 house</t>
  </si>
  <si>
    <t>2 houses</t>
  </si>
  <si>
    <t>3 houses</t>
  </si>
  <si>
    <t>4 houses</t>
  </si>
  <si>
    <t>Hostel</t>
  </si>
  <si>
    <t>Probability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</si>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</sst>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2" borderId="0" xfId="0" applyFill="1" applyAlignment="1">
      <alignment horizontal="center" vertical="center"/>
    </xf>
    <xf numFmtId="9" fontId="0" fillId="0" borderId="0" xfId="1" applyFont="1"/>
    <xf numFmtId="10" fontId="0" fillId="2" borderId="0" xfId="1" applyNumberFormat="1" applyFont="1" applyFill="1" applyAlignment="1">
      <alignment horizontal="center" vertical="center"/>
    </xf>
    <xf numFmtId="10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9006-BCDE-4F28-AC18-C84FCA53935B}">
  <dimension ref="A1:G23"/>
  <sheetViews>
    <sheetView tabSelected="1" workbookViewId="0">
      <selection activeCell="I4" sqref="I4"/>
    </sheetView>
  </sheetViews>
  <sheetFormatPr defaultRowHeight="14.5" x14ac:dyDescent="0.35"/>
  <cols>
    <col min="1" max="1" width="19.08984375" customWidth="1"/>
    <col min="2" max="5" width="10.90625" customWidth="1"/>
    <col min="6" max="6" width="10.81640625" customWidth="1"/>
    <col min="7" max="7" width="11" customWidth="1"/>
  </cols>
  <sheetData>
    <row r="1" spans="1:7" x14ac:dyDescent="0.35">
      <c r="A1" s="2"/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x14ac:dyDescent="0.35">
      <c r="A2" s="2" t="s">
        <v>0</v>
      </c>
      <c r="B2" s="1">
        <f>6000</f>
        <v>6000</v>
      </c>
      <c r="C2" s="1">
        <f t="shared" ref="C2:G6" si="0">B2+5000</f>
        <v>11000</v>
      </c>
      <c r="D2" s="1">
        <f t="shared" si="0"/>
        <v>16000</v>
      </c>
      <c r="E2" s="1">
        <f t="shared" si="0"/>
        <v>21000</v>
      </c>
      <c r="F2" s="1">
        <f t="shared" si="0"/>
        <v>26000</v>
      </c>
      <c r="G2" s="1">
        <f t="shared" si="0"/>
        <v>31000</v>
      </c>
    </row>
    <row r="3" spans="1:7" x14ac:dyDescent="0.35">
      <c r="A3" s="2" t="s">
        <v>1</v>
      </c>
      <c r="B3" s="1">
        <f>6000</f>
        <v>6000</v>
      </c>
      <c r="C3" s="1">
        <f t="shared" si="0"/>
        <v>11000</v>
      </c>
      <c r="D3" s="1">
        <f t="shared" si="0"/>
        <v>16000</v>
      </c>
      <c r="E3" s="1">
        <f t="shared" si="0"/>
        <v>21000</v>
      </c>
      <c r="F3" s="1">
        <f t="shared" si="0"/>
        <v>26000</v>
      </c>
      <c r="G3" s="1">
        <f t="shared" si="0"/>
        <v>31000</v>
      </c>
    </row>
    <row r="4" spans="1:7" x14ac:dyDescent="0.35">
      <c r="A4" s="2" t="s">
        <v>2</v>
      </c>
      <c r="B4" s="1">
        <f>10000</f>
        <v>10000</v>
      </c>
      <c r="C4" s="1">
        <f t="shared" si="0"/>
        <v>15000</v>
      </c>
      <c r="D4" s="1">
        <f t="shared" si="0"/>
        <v>20000</v>
      </c>
      <c r="E4" s="1">
        <f t="shared" si="0"/>
        <v>25000</v>
      </c>
      <c r="F4" s="1">
        <f t="shared" si="0"/>
        <v>30000</v>
      </c>
      <c r="G4" s="1">
        <f t="shared" si="0"/>
        <v>35000</v>
      </c>
    </row>
    <row r="5" spans="1:7" x14ac:dyDescent="0.35">
      <c r="A5" s="2" t="s">
        <v>3</v>
      </c>
      <c r="B5" s="1">
        <f>10000</f>
        <v>10000</v>
      </c>
      <c r="C5" s="1">
        <f t="shared" si="0"/>
        <v>15000</v>
      </c>
      <c r="D5" s="1">
        <f t="shared" si="0"/>
        <v>20000</v>
      </c>
      <c r="E5" s="1">
        <f t="shared" si="0"/>
        <v>25000</v>
      </c>
      <c r="F5" s="1">
        <f t="shared" si="0"/>
        <v>30000</v>
      </c>
      <c r="G5" s="1">
        <f t="shared" si="0"/>
        <v>35000</v>
      </c>
    </row>
    <row r="6" spans="1:7" x14ac:dyDescent="0.35">
      <c r="A6" s="2" t="s">
        <v>4</v>
      </c>
      <c r="B6" s="1">
        <f>12000</f>
        <v>12000</v>
      </c>
      <c r="C6" s="1">
        <f t="shared" si="0"/>
        <v>17000</v>
      </c>
      <c r="D6" s="1">
        <f t="shared" si="0"/>
        <v>22000</v>
      </c>
      <c r="E6" s="1">
        <f t="shared" si="0"/>
        <v>27000</v>
      </c>
      <c r="F6" s="1">
        <f t="shared" si="0"/>
        <v>32000</v>
      </c>
      <c r="G6" s="1">
        <f t="shared" si="0"/>
        <v>37000</v>
      </c>
    </row>
    <row r="7" spans="1:7" x14ac:dyDescent="0.35">
      <c r="A7" s="2" t="s">
        <v>5</v>
      </c>
      <c r="B7" s="1">
        <f>14000</f>
        <v>14000</v>
      </c>
      <c r="C7" s="1">
        <f t="shared" ref="C7:G12" si="1">B7+10000</f>
        <v>24000</v>
      </c>
      <c r="D7" s="1">
        <f t="shared" si="1"/>
        <v>34000</v>
      </c>
      <c r="E7" s="1">
        <f t="shared" si="1"/>
        <v>44000</v>
      </c>
      <c r="F7" s="1">
        <f t="shared" si="1"/>
        <v>54000</v>
      </c>
      <c r="G7" s="1">
        <f t="shared" si="1"/>
        <v>64000</v>
      </c>
    </row>
    <row r="8" spans="1:7" x14ac:dyDescent="0.35">
      <c r="A8" s="2" t="s">
        <v>6</v>
      </c>
      <c r="B8" s="1">
        <f>14000</f>
        <v>14000</v>
      </c>
      <c r="C8" s="1">
        <f t="shared" si="1"/>
        <v>24000</v>
      </c>
      <c r="D8" s="1">
        <f t="shared" si="1"/>
        <v>34000</v>
      </c>
      <c r="E8" s="1">
        <f t="shared" si="1"/>
        <v>44000</v>
      </c>
      <c r="F8" s="1">
        <f t="shared" si="1"/>
        <v>54000</v>
      </c>
      <c r="G8" s="1">
        <f t="shared" si="1"/>
        <v>64000</v>
      </c>
    </row>
    <row r="9" spans="1:7" x14ac:dyDescent="0.35">
      <c r="A9" s="2" t="s">
        <v>7</v>
      </c>
      <c r="B9" s="1">
        <f>16000</f>
        <v>16000</v>
      </c>
      <c r="C9" s="1">
        <f t="shared" si="1"/>
        <v>26000</v>
      </c>
      <c r="D9" s="1">
        <f t="shared" si="1"/>
        <v>36000</v>
      </c>
      <c r="E9" s="1">
        <f t="shared" si="1"/>
        <v>46000</v>
      </c>
      <c r="F9" s="1">
        <f t="shared" si="1"/>
        <v>56000</v>
      </c>
      <c r="G9" s="1">
        <f t="shared" si="1"/>
        <v>66000</v>
      </c>
    </row>
    <row r="10" spans="1:7" x14ac:dyDescent="0.35">
      <c r="A10" s="2" t="s">
        <v>8</v>
      </c>
      <c r="B10" s="1">
        <f>18000</f>
        <v>18000</v>
      </c>
      <c r="C10" s="1">
        <f t="shared" si="1"/>
        <v>28000</v>
      </c>
      <c r="D10" s="1">
        <f t="shared" si="1"/>
        <v>38000</v>
      </c>
      <c r="E10" s="1">
        <f t="shared" si="1"/>
        <v>48000</v>
      </c>
      <c r="F10" s="1">
        <f t="shared" si="1"/>
        <v>58000</v>
      </c>
      <c r="G10" s="1">
        <f t="shared" si="1"/>
        <v>68000</v>
      </c>
    </row>
    <row r="11" spans="1:7" x14ac:dyDescent="0.35">
      <c r="A11" s="2" t="s">
        <v>9</v>
      </c>
      <c r="B11" s="1">
        <f>18000</f>
        <v>18000</v>
      </c>
      <c r="C11" s="1">
        <f t="shared" si="1"/>
        <v>28000</v>
      </c>
      <c r="D11" s="1">
        <f t="shared" si="1"/>
        <v>38000</v>
      </c>
      <c r="E11" s="1">
        <f t="shared" si="1"/>
        <v>48000</v>
      </c>
      <c r="F11" s="1">
        <f t="shared" si="1"/>
        <v>58000</v>
      </c>
      <c r="G11" s="1">
        <f t="shared" si="1"/>
        <v>68000</v>
      </c>
    </row>
    <row r="12" spans="1:7" x14ac:dyDescent="0.35">
      <c r="A12" s="2" t="s">
        <v>10</v>
      </c>
      <c r="B12" s="1">
        <f>20000</f>
        <v>20000</v>
      </c>
      <c r="C12" s="1">
        <f t="shared" si="1"/>
        <v>30000</v>
      </c>
      <c r="D12" s="1">
        <f t="shared" si="1"/>
        <v>40000</v>
      </c>
      <c r="E12" s="1">
        <f t="shared" si="1"/>
        <v>50000</v>
      </c>
      <c r="F12" s="1">
        <f t="shared" si="1"/>
        <v>60000</v>
      </c>
      <c r="G12" s="1">
        <f t="shared" si="1"/>
        <v>70000</v>
      </c>
    </row>
    <row r="13" spans="1:7" x14ac:dyDescent="0.35">
      <c r="A13" s="2" t="s">
        <v>11</v>
      </c>
      <c r="B13" s="1">
        <f>22000</f>
        <v>22000</v>
      </c>
      <c r="C13" s="1">
        <f t="shared" ref="C13:G18" si="2">B13+15000</f>
        <v>37000</v>
      </c>
      <c r="D13" s="1">
        <f t="shared" si="2"/>
        <v>52000</v>
      </c>
      <c r="E13" s="1">
        <f t="shared" si="2"/>
        <v>67000</v>
      </c>
      <c r="F13" s="1">
        <f t="shared" si="2"/>
        <v>82000</v>
      </c>
      <c r="G13" s="1">
        <f t="shared" si="2"/>
        <v>97000</v>
      </c>
    </row>
    <row r="14" spans="1:7" x14ac:dyDescent="0.35">
      <c r="A14" s="2" t="s">
        <v>12</v>
      </c>
      <c r="B14" s="1">
        <f>22000</f>
        <v>22000</v>
      </c>
      <c r="C14" s="1">
        <f t="shared" si="2"/>
        <v>37000</v>
      </c>
      <c r="D14" s="1">
        <f t="shared" si="2"/>
        <v>52000</v>
      </c>
      <c r="E14" s="1">
        <f t="shared" si="2"/>
        <v>67000</v>
      </c>
      <c r="F14" s="1">
        <f t="shared" si="2"/>
        <v>82000</v>
      </c>
      <c r="G14" s="1">
        <f t="shared" si="2"/>
        <v>97000</v>
      </c>
    </row>
    <row r="15" spans="1:7" x14ac:dyDescent="0.35">
      <c r="A15" s="2" t="s">
        <v>13</v>
      </c>
      <c r="B15" s="1">
        <f>24000</f>
        <v>24000</v>
      </c>
      <c r="C15" s="1">
        <f t="shared" si="2"/>
        <v>39000</v>
      </c>
      <c r="D15" s="1">
        <f t="shared" si="2"/>
        <v>54000</v>
      </c>
      <c r="E15" s="1">
        <f t="shared" si="2"/>
        <v>69000</v>
      </c>
      <c r="F15" s="1">
        <f t="shared" si="2"/>
        <v>84000</v>
      </c>
      <c r="G15" s="1">
        <f t="shared" si="2"/>
        <v>99000</v>
      </c>
    </row>
    <row r="16" spans="1:7" x14ac:dyDescent="0.35">
      <c r="A16" s="2" t="s">
        <v>14</v>
      </c>
      <c r="B16" s="1">
        <f>26000</f>
        <v>26000</v>
      </c>
      <c r="C16" s="1">
        <f t="shared" si="2"/>
        <v>41000</v>
      </c>
      <c r="D16" s="1">
        <f t="shared" si="2"/>
        <v>56000</v>
      </c>
      <c r="E16" s="1">
        <f t="shared" si="2"/>
        <v>71000</v>
      </c>
      <c r="F16" s="1">
        <f t="shared" si="2"/>
        <v>86000</v>
      </c>
      <c r="G16" s="1">
        <f t="shared" si="2"/>
        <v>101000</v>
      </c>
    </row>
    <row r="17" spans="1:7" x14ac:dyDescent="0.35">
      <c r="A17" s="2" t="s">
        <v>15</v>
      </c>
      <c r="B17" s="1">
        <f>26000</f>
        <v>26000</v>
      </c>
      <c r="C17" s="1">
        <f t="shared" si="2"/>
        <v>41000</v>
      </c>
      <c r="D17" s="1">
        <f t="shared" si="2"/>
        <v>56000</v>
      </c>
      <c r="E17" s="1">
        <f t="shared" si="2"/>
        <v>71000</v>
      </c>
      <c r="F17" s="1">
        <f t="shared" si="2"/>
        <v>86000</v>
      </c>
      <c r="G17" s="1">
        <f t="shared" si="2"/>
        <v>101000</v>
      </c>
    </row>
    <row r="18" spans="1:7" x14ac:dyDescent="0.35">
      <c r="A18" s="2" t="s">
        <v>16</v>
      </c>
      <c r="B18" s="1">
        <f>28000</f>
        <v>28000</v>
      </c>
      <c r="C18" s="1">
        <f t="shared" si="2"/>
        <v>43000</v>
      </c>
      <c r="D18" s="1">
        <f t="shared" si="2"/>
        <v>58000</v>
      </c>
      <c r="E18" s="1">
        <f t="shared" si="2"/>
        <v>73000</v>
      </c>
      <c r="F18" s="1">
        <f t="shared" si="2"/>
        <v>88000</v>
      </c>
      <c r="G18" s="1">
        <f t="shared" si="2"/>
        <v>103000</v>
      </c>
    </row>
    <row r="19" spans="1:7" x14ac:dyDescent="0.35">
      <c r="A19" s="2" t="s">
        <v>17</v>
      </c>
      <c r="B19" s="1">
        <f>30000</f>
        <v>30000</v>
      </c>
      <c r="C19" s="1">
        <f t="shared" ref="C19:G23" si="3">B19+20000</f>
        <v>50000</v>
      </c>
      <c r="D19" s="1">
        <f t="shared" si="3"/>
        <v>70000</v>
      </c>
      <c r="E19" s="1">
        <f t="shared" si="3"/>
        <v>90000</v>
      </c>
      <c r="F19" s="1">
        <f t="shared" si="3"/>
        <v>110000</v>
      </c>
      <c r="G19" s="1">
        <f t="shared" si="3"/>
        <v>130000</v>
      </c>
    </row>
    <row r="20" spans="1:7" x14ac:dyDescent="0.35">
      <c r="A20" s="2" t="s">
        <v>18</v>
      </c>
      <c r="B20" s="1">
        <f>30000</f>
        <v>30000</v>
      </c>
      <c r="C20" s="1">
        <f t="shared" si="3"/>
        <v>50000</v>
      </c>
      <c r="D20" s="1">
        <f t="shared" si="3"/>
        <v>70000</v>
      </c>
      <c r="E20" s="1">
        <f t="shared" si="3"/>
        <v>90000</v>
      </c>
      <c r="F20" s="1">
        <f t="shared" si="3"/>
        <v>110000</v>
      </c>
      <c r="G20" s="1">
        <f t="shared" si="3"/>
        <v>130000</v>
      </c>
    </row>
    <row r="21" spans="1:7" x14ac:dyDescent="0.35">
      <c r="A21" s="2" t="s">
        <v>19</v>
      </c>
      <c r="B21" s="1">
        <f>32000</f>
        <v>32000</v>
      </c>
      <c r="C21" s="1">
        <f t="shared" si="3"/>
        <v>52000</v>
      </c>
      <c r="D21" s="1">
        <f t="shared" si="3"/>
        <v>72000</v>
      </c>
      <c r="E21" s="1">
        <f t="shared" si="3"/>
        <v>92000</v>
      </c>
      <c r="F21" s="1">
        <f t="shared" si="3"/>
        <v>112000</v>
      </c>
      <c r="G21" s="1">
        <f t="shared" si="3"/>
        <v>132000</v>
      </c>
    </row>
    <row r="22" spans="1:7" x14ac:dyDescent="0.35">
      <c r="A22" s="2" t="s">
        <v>20</v>
      </c>
      <c r="B22" s="1">
        <f>35000</f>
        <v>35000</v>
      </c>
      <c r="C22" s="1">
        <f t="shared" si="3"/>
        <v>55000</v>
      </c>
      <c r="D22" s="1">
        <f t="shared" si="3"/>
        <v>75000</v>
      </c>
      <c r="E22" s="1">
        <f t="shared" si="3"/>
        <v>95000</v>
      </c>
      <c r="F22" s="1">
        <f t="shared" si="3"/>
        <v>115000</v>
      </c>
      <c r="G22" s="1">
        <f t="shared" si="3"/>
        <v>135000</v>
      </c>
    </row>
    <row r="23" spans="1:7" x14ac:dyDescent="0.35">
      <c r="A23" s="2" t="s">
        <v>21</v>
      </c>
      <c r="B23" s="1">
        <f>40000</f>
        <v>40000</v>
      </c>
      <c r="C23" s="1">
        <f t="shared" si="3"/>
        <v>60000</v>
      </c>
      <c r="D23" s="1">
        <f t="shared" si="3"/>
        <v>80000</v>
      </c>
      <c r="E23" s="1">
        <f t="shared" si="3"/>
        <v>100000</v>
      </c>
      <c r="F23" s="1">
        <f t="shared" si="3"/>
        <v>120000</v>
      </c>
      <c r="G23" s="1">
        <f t="shared" si="3"/>
        <v>140000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712D-C149-4494-9DC3-034BB075B80B}">
  <dimension ref="A1:I23"/>
  <sheetViews>
    <sheetView workbookViewId="0">
      <selection activeCell="E18" sqref="E18"/>
    </sheetView>
  </sheetViews>
  <sheetFormatPr defaultRowHeight="14.5" x14ac:dyDescent="0.35"/>
  <cols>
    <col min="1" max="1" width="19.08984375" customWidth="1"/>
    <col min="2" max="2" width="11" customWidth="1"/>
    <col min="3" max="7" width="10.90625" customWidth="1"/>
  </cols>
  <sheetData>
    <row r="1" spans="1:9" x14ac:dyDescent="0.35">
      <c r="A1" s="2"/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spans="1:9" x14ac:dyDescent="0.35">
      <c r="A2" s="2" t="s">
        <v>0</v>
      </c>
      <c r="B2" s="1">
        <v>200</v>
      </c>
      <c r="C2" s="1">
        <v>1000</v>
      </c>
      <c r="D2" s="1">
        <v>3000</v>
      </c>
      <c r="E2" s="1">
        <v>9000</v>
      </c>
      <c r="F2" s="1">
        <v>16000</v>
      </c>
      <c r="G2" s="1">
        <v>25000</v>
      </c>
      <c r="I2" s="1"/>
    </row>
    <row r="3" spans="1:9" x14ac:dyDescent="0.35">
      <c r="A3" s="2" t="s">
        <v>1</v>
      </c>
      <c r="B3" s="1">
        <v>400</v>
      </c>
      <c r="C3" s="1">
        <v>2000</v>
      </c>
      <c r="D3" s="1">
        <v>6000</v>
      </c>
      <c r="E3" s="1">
        <v>18000</v>
      </c>
      <c r="F3" s="1">
        <v>32000</v>
      </c>
      <c r="G3" s="1">
        <v>45000</v>
      </c>
    </row>
    <row r="4" spans="1:9" x14ac:dyDescent="0.35">
      <c r="A4" s="2" t="s">
        <v>2</v>
      </c>
      <c r="B4" s="1">
        <v>600</v>
      </c>
      <c r="C4" s="1">
        <v>3000</v>
      </c>
      <c r="D4" s="1">
        <v>9000</v>
      </c>
      <c r="E4" s="1">
        <v>27000</v>
      </c>
      <c r="F4" s="1">
        <v>40000</v>
      </c>
      <c r="G4" s="1">
        <v>55000</v>
      </c>
    </row>
    <row r="5" spans="1:9" x14ac:dyDescent="0.35">
      <c r="A5" s="2" t="s">
        <v>3</v>
      </c>
      <c r="B5" s="1">
        <v>600</v>
      </c>
      <c r="C5" s="1">
        <v>3000</v>
      </c>
      <c r="D5" s="1">
        <v>9000</v>
      </c>
      <c r="E5" s="1">
        <v>27000</v>
      </c>
      <c r="F5" s="1">
        <v>40000</v>
      </c>
      <c r="G5" s="1">
        <v>55000</v>
      </c>
    </row>
    <row r="6" spans="1:9" x14ac:dyDescent="0.35">
      <c r="A6" s="2" t="s">
        <v>4</v>
      </c>
      <c r="B6" s="1">
        <v>800</v>
      </c>
      <c r="C6" s="1">
        <v>4000</v>
      </c>
      <c r="D6" s="1">
        <v>10000</v>
      </c>
      <c r="E6" s="1">
        <v>30000</v>
      </c>
      <c r="F6" s="1">
        <v>45000</v>
      </c>
      <c r="G6" s="1">
        <v>60000</v>
      </c>
    </row>
    <row r="7" spans="1:9" x14ac:dyDescent="0.35">
      <c r="A7" s="2" t="s">
        <v>5</v>
      </c>
      <c r="B7" s="1">
        <v>1000</v>
      </c>
      <c r="C7" s="1">
        <v>5000</v>
      </c>
      <c r="D7" s="1">
        <v>15000</v>
      </c>
      <c r="E7" s="1">
        <v>45000</v>
      </c>
      <c r="F7" s="1">
        <v>62500</v>
      </c>
      <c r="G7" s="1">
        <v>75000</v>
      </c>
    </row>
    <row r="8" spans="1:9" x14ac:dyDescent="0.35">
      <c r="A8" s="2" t="s">
        <v>6</v>
      </c>
      <c r="B8" s="1">
        <v>1000</v>
      </c>
      <c r="C8" s="1">
        <v>5000</v>
      </c>
      <c r="D8" s="1">
        <v>15000</v>
      </c>
      <c r="E8" s="1">
        <v>45000</v>
      </c>
      <c r="F8" s="1">
        <v>62500</v>
      </c>
      <c r="G8" s="1">
        <v>75000</v>
      </c>
    </row>
    <row r="9" spans="1:9" x14ac:dyDescent="0.35">
      <c r="A9" s="2" t="s">
        <v>7</v>
      </c>
      <c r="B9" s="1">
        <v>1200</v>
      </c>
      <c r="C9" s="1">
        <v>6000</v>
      </c>
      <c r="D9" s="1">
        <v>18000</v>
      </c>
      <c r="E9" s="1">
        <v>50000</v>
      </c>
      <c r="F9" s="1">
        <v>70000</v>
      </c>
      <c r="G9" s="1">
        <v>90000</v>
      </c>
    </row>
    <row r="10" spans="1:9" x14ac:dyDescent="0.35">
      <c r="A10" s="2" t="s">
        <v>8</v>
      </c>
      <c r="B10" s="1">
        <v>1400</v>
      </c>
      <c r="C10" s="1">
        <v>7000</v>
      </c>
      <c r="D10" s="1">
        <v>20000</v>
      </c>
      <c r="E10" s="1">
        <v>55000</v>
      </c>
      <c r="F10" s="1">
        <v>75000</v>
      </c>
      <c r="G10" s="1">
        <v>95000</v>
      </c>
    </row>
    <row r="11" spans="1:9" x14ac:dyDescent="0.35">
      <c r="A11" s="2" t="s">
        <v>9</v>
      </c>
      <c r="B11" s="1">
        <v>1400</v>
      </c>
      <c r="C11" s="1">
        <v>7000</v>
      </c>
      <c r="D11" s="1">
        <v>20000</v>
      </c>
      <c r="E11" s="1">
        <v>55000</v>
      </c>
      <c r="F11" s="1">
        <v>75000</v>
      </c>
      <c r="G11" s="1">
        <v>95000</v>
      </c>
    </row>
    <row r="12" spans="1:9" x14ac:dyDescent="0.35">
      <c r="A12" s="2" t="s">
        <v>10</v>
      </c>
      <c r="B12" s="1">
        <v>1600</v>
      </c>
      <c r="C12" s="1">
        <v>8000</v>
      </c>
      <c r="D12" s="1">
        <v>22000</v>
      </c>
      <c r="E12" s="1">
        <v>60000</v>
      </c>
      <c r="F12" s="1">
        <v>80000</v>
      </c>
      <c r="G12" s="1">
        <v>100000</v>
      </c>
    </row>
    <row r="13" spans="1:9" x14ac:dyDescent="0.35">
      <c r="A13" s="2" t="s">
        <v>11</v>
      </c>
      <c r="B13" s="1">
        <v>1800</v>
      </c>
      <c r="C13" s="1">
        <v>9000</v>
      </c>
      <c r="D13" s="1">
        <v>25000</v>
      </c>
      <c r="E13" s="1">
        <v>70000</v>
      </c>
      <c r="F13" s="1">
        <v>87500</v>
      </c>
      <c r="G13" s="1">
        <v>105000</v>
      </c>
    </row>
    <row r="14" spans="1:9" x14ac:dyDescent="0.35">
      <c r="A14" s="2" t="s">
        <v>12</v>
      </c>
      <c r="B14" s="1">
        <v>1800</v>
      </c>
      <c r="C14" s="1">
        <v>9000</v>
      </c>
      <c r="D14" s="1">
        <v>25000</v>
      </c>
      <c r="E14" s="1">
        <v>70000</v>
      </c>
      <c r="F14" s="1">
        <v>87500</v>
      </c>
      <c r="G14" s="1">
        <v>105000</v>
      </c>
    </row>
    <row r="15" spans="1:9" x14ac:dyDescent="0.35">
      <c r="A15" s="2" t="s">
        <v>13</v>
      </c>
      <c r="B15" s="1">
        <v>2000</v>
      </c>
      <c r="C15" s="1">
        <v>10000</v>
      </c>
      <c r="D15" s="1">
        <v>30000</v>
      </c>
      <c r="E15" s="1">
        <v>75000</v>
      </c>
      <c r="F15" s="1">
        <v>92500</v>
      </c>
      <c r="G15" s="1">
        <v>110000</v>
      </c>
    </row>
    <row r="16" spans="1:9" x14ac:dyDescent="0.35">
      <c r="A16" s="2" t="s">
        <v>14</v>
      </c>
      <c r="B16" s="1">
        <v>2200</v>
      </c>
      <c r="C16" s="1">
        <v>11000</v>
      </c>
      <c r="D16" s="1">
        <v>33000</v>
      </c>
      <c r="E16" s="1">
        <v>80000</v>
      </c>
      <c r="F16" s="1">
        <v>97500</v>
      </c>
      <c r="G16" s="1">
        <v>115000</v>
      </c>
    </row>
    <row r="17" spans="1:7" x14ac:dyDescent="0.35">
      <c r="A17" s="2" t="s">
        <v>15</v>
      </c>
      <c r="B17" s="1">
        <v>2200</v>
      </c>
      <c r="C17" s="1">
        <v>11000</v>
      </c>
      <c r="D17" s="1">
        <v>33000</v>
      </c>
      <c r="E17" s="1">
        <v>80000</v>
      </c>
      <c r="F17" s="1">
        <v>97500</v>
      </c>
      <c r="G17" s="1">
        <v>115000</v>
      </c>
    </row>
    <row r="18" spans="1:7" x14ac:dyDescent="0.35">
      <c r="A18" s="2" t="s">
        <v>16</v>
      </c>
      <c r="B18" s="1">
        <v>2200</v>
      </c>
      <c r="C18" s="1">
        <v>12000</v>
      </c>
      <c r="D18" s="1">
        <v>36000</v>
      </c>
      <c r="E18" s="1">
        <v>85000</v>
      </c>
      <c r="F18" s="1">
        <v>102500</v>
      </c>
      <c r="G18" s="1">
        <v>120000</v>
      </c>
    </row>
    <row r="19" spans="1:7" x14ac:dyDescent="0.35">
      <c r="A19" s="2" t="s">
        <v>17</v>
      </c>
      <c r="B19" s="1">
        <v>2600</v>
      </c>
      <c r="C19" s="1">
        <v>13000</v>
      </c>
      <c r="D19" s="1">
        <v>39000</v>
      </c>
      <c r="E19" s="1">
        <v>90000</v>
      </c>
      <c r="F19" s="1">
        <v>110000</v>
      </c>
      <c r="G19" s="1">
        <v>127500</v>
      </c>
    </row>
    <row r="20" spans="1:7" x14ac:dyDescent="0.35">
      <c r="A20" s="2" t="s">
        <v>18</v>
      </c>
      <c r="B20" s="1">
        <v>2600</v>
      </c>
      <c r="C20" s="1">
        <v>13000</v>
      </c>
      <c r="D20" s="1">
        <v>39000</v>
      </c>
      <c r="E20" s="1">
        <v>90000</v>
      </c>
      <c r="F20" s="1">
        <v>110000</v>
      </c>
      <c r="G20" s="1">
        <v>127500</v>
      </c>
    </row>
    <row r="21" spans="1:7" x14ac:dyDescent="0.35">
      <c r="A21" s="2" t="s">
        <v>19</v>
      </c>
      <c r="B21" s="1">
        <v>2800</v>
      </c>
      <c r="C21" s="1">
        <v>15000</v>
      </c>
      <c r="D21" s="1">
        <v>45000</v>
      </c>
      <c r="E21" s="1">
        <v>100000</v>
      </c>
      <c r="F21" s="1">
        <v>120000</v>
      </c>
      <c r="G21" s="1">
        <v>140000</v>
      </c>
    </row>
    <row r="22" spans="1:7" x14ac:dyDescent="0.35">
      <c r="A22" s="2" t="s">
        <v>20</v>
      </c>
      <c r="B22" s="1">
        <v>3500</v>
      </c>
      <c r="C22" s="1">
        <v>17500</v>
      </c>
      <c r="D22" s="1">
        <v>50000</v>
      </c>
      <c r="E22" s="1">
        <v>110000</v>
      </c>
      <c r="F22" s="1">
        <v>130000</v>
      </c>
      <c r="G22" s="1">
        <v>150000</v>
      </c>
    </row>
    <row r="23" spans="1:7" x14ac:dyDescent="0.35">
      <c r="A23" s="2" t="s">
        <v>21</v>
      </c>
      <c r="B23" s="1">
        <v>5000</v>
      </c>
      <c r="C23" s="1">
        <v>20000</v>
      </c>
      <c r="D23" s="1">
        <v>60000</v>
      </c>
      <c r="E23" s="1">
        <v>140000</v>
      </c>
      <c r="F23" s="1">
        <v>170000</v>
      </c>
      <c r="G23" s="1">
        <v>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C339-75CE-49B8-B13B-D3D83549C5D2}">
  <dimension ref="A1:I23"/>
  <sheetViews>
    <sheetView workbookViewId="0">
      <selection activeCell="F18" sqref="F18"/>
    </sheetView>
  </sheetViews>
  <sheetFormatPr defaultRowHeight="14.5" x14ac:dyDescent="0.35"/>
  <cols>
    <col min="1" max="1" width="20" customWidth="1"/>
    <col min="2" max="2" width="11" customWidth="1"/>
    <col min="3" max="7" width="10.90625" customWidth="1"/>
  </cols>
  <sheetData>
    <row r="1" spans="1:9" x14ac:dyDescent="0.35">
      <c r="A1" s="2"/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spans="1:9" x14ac:dyDescent="0.35">
      <c r="A2" s="2" t="s">
        <v>0</v>
      </c>
      <c r="B2" s="3">
        <f>Rents!B2/CAPEX!B2</f>
        <v>3.3333333333333333E-2</v>
      </c>
      <c r="C2" s="3">
        <f>Rents!C2/CAPEX!C2</f>
        <v>9.0909090909090912E-2</v>
      </c>
      <c r="D2" s="3">
        <f>Rents!D2/CAPEX!D2</f>
        <v>0.1875</v>
      </c>
      <c r="E2" s="3">
        <f>Rents!E2/CAPEX!E2</f>
        <v>0.42857142857142855</v>
      </c>
      <c r="F2" s="3">
        <f>Rents!F2/CAPEX!F2</f>
        <v>0.61538461538461542</v>
      </c>
      <c r="G2" s="3">
        <f>Rents!G2/CAPEX!G2</f>
        <v>0.80645161290322576</v>
      </c>
      <c r="I2" s="1"/>
    </row>
    <row r="3" spans="1:9" x14ac:dyDescent="0.35">
      <c r="A3" s="2" t="s">
        <v>1</v>
      </c>
      <c r="B3" s="3">
        <f>Rents!B3/CAPEX!B3</f>
        <v>6.6666666666666666E-2</v>
      </c>
      <c r="C3" s="3">
        <f>Rents!C3/CAPEX!C3</f>
        <v>0.18181818181818182</v>
      </c>
      <c r="D3" s="3">
        <f>Rents!D3/CAPEX!D3</f>
        <v>0.375</v>
      </c>
      <c r="E3" s="3">
        <f>Rents!E3/CAPEX!E3</f>
        <v>0.8571428571428571</v>
      </c>
      <c r="F3" s="3">
        <f>Rents!F3/CAPEX!F3</f>
        <v>1.2307692307692308</v>
      </c>
      <c r="G3" s="3">
        <f>Rents!G3/CAPEX!G3</f>
        <v>1.4516129032258065</v>
      </c>
    </row>
    <row r="4" spans="1:9" x14ac:dyDescent="0.35">
      <c r="A4" s="2" t="s">
        <v>2</v>
      </c>
      <c r="B4" s="3">
        <f>Rents!B4/CAPEX!B4</f>
        <v>0.06</v>
      </c>
      <c r="C4" s="3">
        <f>Rents!C4/CAPEX!C4</f>
        <v>0.2</v>
      </c>
      <c r="D4" s="3">
        <f>Rents!D4/CAPEX!D4</f>
        <v>0.45</v>
      </c>
      <c r="E4" s="3">
        <f>Rents!E4/CAPEX!E4</f>
        <v>1.08</v>
      </c>
      <c r="F4" s="3">
        <f>Rents!F4/CAPEX!F4</f>
        <v>1.3333333333333333</v>
      </c>
      <c r="G4" s="3">
        <f>Rents!G4/CAPEX!G4</f>
        <v>1.5714285714285714</v>
      </c>
    </row>
    <row r="5" spans="1:9" x14ac:dyDescent="0.35">
      <c r="A5" s="2" t="s">
        <v>3</v>
      </c>
      <c r="B5" s="3">
        <f>Rents!B5/CAPEX!B5</f>
        <v>0.06</v>
      </c>
      <c r="C5" s="3">
        <f>Rents!C5/CAPEX!C5</f>
        <v>0.2</v>
      </c>
      <c r="D5" s="3">
        <f>Rents!D5/CAPEX!D5</f>
        <v>0.45</v>
      </c>
      <c r="E5" s="3">
        <f>Rents!E5/CAPEX!E5</f>
        <v>1.08</v>
      </c>
      <c r="F5" s="3">
        <f>Rents!F5/CAPEX!F5</f>
        <v>1.3333333333333333</v>
      </c>
      <c r="G5" s="3">
        <f>Rents!G5/CAPEX!G5</f>
        <v>1.5714285714285714</v>
      </c>
    </row>
    <row r="6" spans="1:9" x14ac:dyDescent="0.35">
      <c r="A6" s="2" t="s">
        <v>4</v>
      </c>
      <c r="B6" s="3">
        <f>Rents!B6/CAPEX!B6</f>
        <v>6.6666666666666666E-2</v>
      </c>
      <c r="C6" s="3">
        <f>Rents!C6/CAPEX!C6</f>
        <v>0.23529411764705882</v>
      </c>
      <c r="D6" s="3">
        <f>Rents!D6/CAPEX!D6</f>
        <v>0.45454545454545453</v>
      </c>
      <c r="E6" s="3">
        <f>Rents!E6/CAPEX!E6</f>
        <v>1.1111111111111112</v>
      </c>
      <c r="F6" s="3">
        <f>Rents!F6/CAPEX!F6</f>
        <v>1.40625</v>
      </c>
      <c r="G6" s="3">
        <f>Rents!G6/CAPEX!G6</f>
        <v>1.6216216216216217</v>
      </c>
    </row>
    <row r="7" spans="1:9" x14ac:dyDescent="0.35">
      <c r="A7" s="2" t="s">
        <v>5</v>
      </c>
      <c r="B7" s="3">
        <f>Rents!B7/CAPEX!B7</f>
        <v>7.1428571428571425E-2</v>
      </c>
      <c r="C7" s="3">
        <f>Rents!C7/CAPEX!C7</f>
        <v>0.20833333333333334</v>
      </c>
      <c r="D7" s="3">
        <f>Rents!D7/CAPEX!D7</f>
        <v>0.44117647058823528</v>
      </c>
      <c r="E7" s="3">
        <f>Rents!E7/CAPEX!E7</f>
        <v>1.0227272727272727</v>
      </c>
      <c r="F7" s="3">
        <f>Rents!F7/CAPEX!F7</f>
        <v>1.1574074074074074</v>
      </c>
      <c r="G7" s="3">
        <f>Rents!G7/CAPEX!G7</f>
        <v>1.171875</v>
      </c>
    </row>
    <row r="8" spans="1:9" x14ac:dyDescent="0.35">
      <c r="A8" s="2" t="s">
        <v>6</v>
      </c>
      <c r="B8" s="3">
        <f>Rents!B8/CAPEX!B8</f>
        <v>7.1428571428571425E-2</v>
      </c>
      <c r="C8" s="3">
        <f>Rents!C8/CAPEX!C8</f>
        <v>0.20833333333333334</v>
      </c>
      <c r="D8" s="3">
        <f>Rents!D8/CAPEX!D8</f>
        <v>0.44117647058823528</v>
      </c>
      <c r="E8" s="3">
        <f>Rents!E8/CAPEX!E8</f>
        <v>1.0227272727272727</v>
      </c>
      <c r="F8" s="3">
        <f>Rents!F8/CAPEX!F8</f>
        <v>1.1574074074074074</v>
      </c>
      <c r="G8" s="3">
        <f>Rents!G8/CAPEX!G8</f>
        <v>1.171875</v>
      </c>
    </row>
    <row r="9" spans="1:9" x14ac:dyDescent="0.35">
      <c r="A9" s="2" t="s">
        <v>7</v>
      </c>
      <c r="B9" s="3">
        <f>Rents!B9/CAPEX!B9</f>
        <v>7.4999999999999997E-2</v>
      </c>
      <c r="C9" s="3">
        <f>Rents!C9/CAPEX!C9</f>
        <v>0.23076923076923078</v>
      </c>
      <c r="D9" s="3">
        <f>Rents!D9/CAPEX!D9</f>
        <v>0.5</v>
      </c>
      <c r="E9" s="3">
        <f>Rents!E9/CAPEX!E9</f>
        <v>1.0869565217391304</v>
      </c>
      <c r="F9" s="3">
        <f>Rents!F9/CAPEX!F9</f>
        <v>1.25</v>
      </c>
      <c r="G9" s="3">
        <f>Rents!G9/CAPEX!G9</f>
        <v>1.3636363636363635</v>
      </c>
    </row>
    <row r="10" spans="1:9" x14ac:dyDescent="0.35">
      <c r="A10" s="2" t="s">
        <v>8</v>
      </c>
      <c r="B10" s="3">
        <f>Rents!B10/CAPEX!B10</f>
        <v>7.7777777777777779E-2</v>
      </c>
      <c r="C10" s="3">
        <f>Rents!C10/CAPEX!C10</f>
        <v>0.25</v>
      </c>
      <c r="D10" s="3">
        <f>Rents!D10/CAPEX!D10</f>
        <v>0.52631578947368418</v>
      </c>
      <c r="E10" s="3">
        <f>Rents!E10/CAPEX!E10</f>
        <v>1.1458333333333333</v>
      </c>
      <c r="F10" s="3">
        <f>Rents!F10/CAPEX!F10</f>
        <v>1.2931034482758621</v>
      </c>
      <c r="G10" s="3">
        <f>Rents!G10/CAPEX!G10</f>
        <v>1.3970588235294117</v>
      </c>
    </row>
    <row r="11" spans="1:9" x14ac:dyDescent="0.35">
      <c r="A11" s="2" t="s">
        <v>9</v>
      </c>
      <c r="B11" s="3">
        <f>Rents!B11/CAPEX!B11</f>
        <v>7.7777777777777779E-2</v>
      </c>
      <c r="C11" s="3">
        <f>Rents!C11/CAPEX!C11</f>
        <v>0.25</v>
      </c>
      <c r="D11" s="3">
        <f>Rents!D11/CAPEX!D11</f>
        <v>0.52631578947368418</v>
      </c>
      <c r="E11" s="3">
        <f>Rents!E11/CAPEX!E11</f>
        <v>1.1458333333333333</v>
      </c>
      <c r="F11" s="3">
        <f>Rents!F11/CAPEX!F11</f>
        <v>1.2931034482758621</v>
      </c>
      <c r="G11" s="3">
        <f>Rents!G11/CAPEX!G11</f>
        <v>1.3970588235294117</v>
      </c>
    </row>
    <row r="12" spans="1:9" x14ac:dyDescent="0.35">
      <c r="A12" s="2" t="s">
        <v>10</v>
      </c>
      <c r="B12" s="3">
        <f>Rents!B12/CAPEX!B12</f>
        <v>0.08</v>
      </c>
      <c r="C12" s="3">
        <f>Rents!C12/CAPEX!C12</f>
        <v>0.26666666666666666</v>
      </c>
      <c r="D12" s="3">
        <f>Rents!D12/CAPEX!D12</f>
        <v>0.55000000000000004</v>
      </c>
      <c r="E12" s="3">
        <f>Rents!E12/CAPEX!E12</f>
        <v>1.2</v>
      </c>
      <c r="F12" s="3">
        <f>Rents!F12/CAPEX!F12</f>
        <v>1.3333333333333333</v>
      </c>
      <c r="G12" s="3">
        <f>Rents!G12/CAPEX!G12</f>
        <v>1.4285714285714286</v>
      </c>
    </row>
    <row r="13" spans="1:9" x14ac:dyDescent="0.35">
      <c r="A13" s="2" t="s">
        <v>11</v>
      </c>
      <c r="B13" s="3">
        <f>Rents!B13/CAPEX!B13</f>
        <v>8.1818181818181818E-2</v>
      </c>
      <c r="C13" s="3">
        <f>Rents!C13/CAPEX!C13</f>
        <v>0.24324324324324326</v>
      </c>
      <c r="D13" s="3">
        <f>Rents!D13/CAPEX!D13</f>
        <v>0.48076923076923078</v>
      </c>
      <c r="E13" s="3">
        <f>Rents!E13/CAPEX!E13</f>
        <v>1.044776119402985</v>
      </c>
      <c r="F13" s="3">
        <f>Rents!F13/CAPEX!F13</f>
        <v>1.0670731707317074</v>
      </c>
      <c r="G13" s="3">
        <f>Rents!G13/CAPEX!G13</f>
        <v>1.0824742268041236</v>
      </c>
    </row>
    <row r="14" spans="1:9" x14ac:dyDescent="0.35">
      <c r="A14" s="2" t="s">
        <v>12</v>
      </c>
      <c r="B14" s="3">
        <f>Rents!B14/CAPEX!B14</f>
        <v>8.1818181818181818E-2</v>
      </c>
      <c r="C14" s="3">
        <f>Rents!C14/CAPEX!C14</f>
        <v>0.24324324324324326</v>
      </c>
      <c r="D14" s="3">
        <f>Rents!D14/CAPEX!D14</f>
        <v>0.48076923076923078</v>
      </c>
      <c r="E14" s="3">
        <f>Rents!E14/CAPEX!E14</f>
        <v>1.044776119402985</v>
      </c>
      <c r="F14" s="3">
        <f>Rents!F14/CAPEX!F14</f>
        <v>1.0670731707317074</v>
      </c>
      <c r="G14" s="3">
        <f>Rents!G14/CAPEX!G14</f>
        <v>1.0824742268041236</v>
      </c>
    </row>
    <row r="15" spans="1:9" x14ac:dyDescent="0.35">
      <c r="A15" s="2" t="s">
        <v>13</v>
      </c>
      <c r="B15" s="3">
        <f>Rents!B15/CAPEX!B15</f>
        <v>8.3333333333333329E-2</v>
      </c>
      <c r="C15" s="3">
        <f>Rents!C15/CAPEX!C15</f>
        <v>0.25641025641025639</v>
      </c>
      <c r="D15" s="3">
        <f>Rents!D15/CAPEX!D15</f>
        <v>0.55555555555555558</v>
      </c>
      <c r="E15" s="3">
        <f>Rents!E15/CAPEX!E15</f>
        <v>1.0869565217391304</v>
      </c>
      <c r="F15" s="3">
        <f>Rents!F15/CAPEX!F15</f>
        <v>1.1011904761904763</v>
      </c>
      <c r="G15" s="3">
        <f>Rents!G15/CAPEX!G15</f>
        <v>1.1111111111111112</v>
      </c>
    </row>
    <row r="16" spans="1:9" x14ac:dyDescent="0.35">
      <c r="A16" s="2" t="s">
        <v>14</v>
      </c>
      <c r="B16" s="3">
        <f>Rents!B16/CAPEX!B16</f>
        <v>8.461538461538462E-2</v>
      </c>
      <c r="C16" s="3">
        <f>Rents!C16/CAPEX!C16</f>
        <v>0.26829268292682928</v>
      </c>
      <c r="D16" s="3">
        <f>Rents!D16/CAPEX!D16</f>
        <v>0.5892857142857143</v>
      </c>
      <c r="E16" s="3">
        <f>Rents!E16/CAPEX!E16</f>
        <v>1.1267605633802817</v>
      </c>
      <c r="F16" s="3">
        <f>Rents!F16/CAPEX!F16</f>
        <v>1.1337209302325582</v>
      </c>
      <c r="G16" s="3">
        <f>Rents!G16/CAPEX!G16</f>
        <v>1.1386138613861385</v>
      </c>
    </row>
    <row r="17" spans="1:7" x14ac:dyDescent="0.35">
      <c r="A17" s="2" t="s">
        <v>15</v>
      </c>
      <c r="B17" s="3">
        <f>Rents!B17/CAPEX!B17</f>
        <v>8.461538461538462E-2</v>
      </c>
      <c r="C17" s="3">
        <f>Rents!C17/CAPEX!C17</f>
        <v>0.26829268292682928</v>
      </c>
      <c r="D17" s="3">
        <f>Rents!D17/CAPEX!D17</f>
        <v>0.5892857142857143</v>
      </c>
      <c r="E17" s="3">
        <f>Rents!E17/CAPEX!E17</f>
        <v>1.1267605633802817</v>
      </c>
      <c r="F17" s="3">
        <f>Rents!F17/CAPEX!F17</f>
        <v>1.1337209302325582</v>
      </c>
      <c r="G17" s="3">
        <f>Rents!G17/CAPEX!G17</f>
        <v>1.1386138613861385</v>
      </c>
    </row>
    <row r="18" spans="1:7" x14ac:dyDescent="0.35">
      <c r="A18" s="2" t="s">
        <v>16</v>
      </c>
      <c r="B18" s="3">
        <f>Rents!B18/CAPEX!B18</f>
        <v>7.857142857142857E-2</v>
      </c>
      <c r="C18" s="3">
        <f>Rents!C18/CAPEX!C18</f>
        <v>0.27906976744186046</v>
      </c>
      <c r="D18" s="3">
        <f>Rents!D18/CAPEX!D18</f>
        <v>0.62068965517241381</v>
      </c>
      <c r="E18" s="3">
        <f>Rents!E18/CAPEX!E18</f>
        <v>1.1643835616438356</v>
      </c>
      <c r="F18" s="3">
        <f>Rents!F18/CAPEX!F18</f>
        <v>1.1647727272727273</v>
      </c>
      <c r="G18" s="3">
        <f>Rents!G18/CAPEX!G18</f>
        <v>1.1650485436893203</v>
      </c>
    </row>
    <row r="19" spans="1:7" x14ac:dyDescent="0.35">
      <c r="A19" s="2" t="s">
        <v>17</v>
      </c>
      <c r="B19" s="3">
        <f>Rents!B19/CAPEX!B19</f>
        <v>8.666666666666667E-2</v>
      </c>
      <c r="C19" s="3">
        <f>Rents!C19/CAPEX!C19</f>
        <v>0.26</v>
      </c>
      <c r="D19" s="3">
        <f>Rents!D19/CAPEX!D19</f>
        <v>0.55714285714285716</v>
      </c>
      <c r="E19" s="3">
        <f>Rents!E19/CAPEX!E19</f>
        <v>1</v>
      </c>
      <c r="F19" s="3">
        <f>Rents!F19/CAPEX!F19</f>
        <v>1</v>
      </c>
      <c r="G19" s="3">
        <f>Rents!G19/CAPEX!G19</f>
        <v>0.98076923076923073</v>
      </c>
    </row>
    <row r="20" spans="1:7" x14ac:dyDescent="0.35">
      <c r="A20" s="2" t="s">
        <v>18</v>
      </c>
      <c r="B20" s="3">
        <f>Rents!B20/CAPEX!B20</f>
        <v>8.666666666666667E-2</v>
      </c>
      <c r="C20" s="3">
        <f>Rents!C20/CAPEX!C20</f>
        <v>0.26</v>
      </c>
      <c r="D20" s="3">
        <f>Rents!D20/CAPEX!D20</f>
        <v>0.55714285714285716</v>
      </c>
      <c r="E20" s="3">
        <f>Rents!E20/CAPEX!E20</f>
        <v>1</v>
      </c>
      <c r="F20" s="3">
        <f>Rents!F20/CAPEX!F20</f>
        <v>1</v>
      </c>
      <c r="G20" s="3">
        <f>Rents!G20/CAPEX!G20</f>
        <v>0.98076923076923073</v>
      </c>
    </row>
    <row r="21" spans="1:7" x14ac:dyDescent="0.35">
      <c r="A21" s="2" t="s">
        <v>19</v>
      </c>
      <c r="B21" s="3">
        <f>Rents!B21/CAPEX!B21</f>
        <v>8.7499999999999994E-2</v>
      </c>
      <c r="C21" s="3">
        <f>Rents!C21/CAPEX!C21</f>
        <v>0.28846153846153844</v>
      </c>
      <c r="D21" s="3">
        <f>Rents!D21/CAPEX!D21</f>
        <v>0.625</v>
      </c>
      <c r="E21" s="3">
        <f>Rents!E21/CAPEX!E21</f>
        <v>1.0869565217391304</v>
      </c>
      <c r="F21" s="3">
        <f>Rents!F21/CAPEX!F21</f>
        <v>1.0714285714285714</v>
      </c>
      <c r="G21" s="3">
        <f>Rents!G21/CAPEX!G21</f>
        <v>1.0606060606060606</v>
      </c>
    </row>
    <row r="22" spans="1:7" x14ac:dyDescent="0.35">
      <c r="A22" s="2" t="s">
        <v>20</v>
      </c>
      <c r="B22" s="3">
        <f>Rents!B22/CAPEX!B22</f>
        <v>0.1</v>
      </c>
      <c r="C22" s="3">
        <f>Rents!C22/CAPEX!C22</f>
        <v>0.31818181818181818</v>
      </c>
      <c r="D22" s="3">
        <f>Rents!D22/CAPEX!D22</f>
        <v>0.66666666666666663</v>
      </c>
      <c r="E22" s="3">
        <f>Rents!E22/CAPEX!E22</f>
        <v>1.1578947368421053</v>
      </c>
      <c r="F22" s="3">
        <f>Rents!F22/CAPEX!F22</f>
        <v>1.1304347826086956</v>
      </c>
      <c r="G22" s="3">
        <f>Rents!G22/CAPEX!G22</f>
        <v>1.1111111111111112</v>
      </c>
    </row>
    <row r="23" spans="1:7" x14ac:dyDescent="0.35">
      <c r="A23" s="2" t="s">
        <v>21</v>
      </c>
      <c r="B23" s="3">
        <f>Rents!B23/CAPEX!B23</f>
        <v>0.125</v>
      </c>
      <c r="C23" s="3">
        <f>Rents!C23/CAPEX!C23</f>
        <v>0.33333333333333331</v>
      </c>
      <c r="D23" s="3">
        <f>Rents!D23/CAPEX!D23</f>
        <v>0.75</v>
      </c>
      <c r="E23" s="3">
        <f>Rents!E23/CAPEX!E23</f>
        <v>1.4</v>
      </c>
      <c r="F23" s="3">
        <f>Rents!F23/CAPEX!F23</f>
        <v>1.4166666666666667</v>
      </c>
      <c r="G23" s="3">
        <f>Rents!G23/CAPEX!G23</f>
        <v>1.4285714285714286</v>
      </c>
    </row>
  </sheetData>
  <conditionalFormatting sqref="B2:G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31B7-2BC2-4ED8-92BB-24F7268931A7}">
  <dimension ref="A1:K29"/>
  <sheetViews>
    <sheetView workbookViewId="0">
      <selection activeCell="K13" sqref="K13"/>
    </sheetView>
  </sheetViews>
  <sheetFormatPr defaultRowHeight="14.5" x14ac:dyDescent="0.35"/>
  <cols>
    <col min="1" max="1" width="20" customWidth="1"/>
    <col min="2" max="3" width="10.90625" customWidth="1"/>
    <col min="4" max="4" width="11" customWidth="1"/>
    <col min="5" max="9" width="10.90625" customWidth="1"/>
  </cols>
  <sheetData>
    <row r="1" spans="1:11" x14ac:dyDescent="0.35">
      <c r="A1" s="2"/>
      <c r="B1" s="2" t="s">
        <v>29</v>
      </c>
      <c r="C1" s="2" t="s">
        <v>28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</row>
    <row r="2" spans="1:11" x14ac:dyDescent="0.35">
      <c r="A2" s="2" t="s">
        <v>0</v>
      </c>
      <c r="B2" s="2">
        <v>26378</v>
      </c>
      <c r="C2" s="4">
        <f>B2/SUM(B$2:B$23)</f>
        <v>4.5910073482572693E-2</v>
      </c>
      <c r="D2" s="5">
        <f>GrossROC!B2*WPROC!$C2</f>
        <v>1.5303357827524231E-3</v>
      </c>
      <c r="E2" s="5">
        <f>GrossROC!C2*WPROC!$C2</f>
        <v>4.1736430438702446E-3</v>
      </c>
      <c r="F2" s="5">
        <f>GrossROC!D2*WPROC!$C2</f>
        <v>8.6081387779823795E-3</v>
      </c>
      <c r="G2" s="5">
        <f>GrossROC!E2*WPROC!$C2</f>
        <v>1.9675745778245438E-2</v>
      </c>
      <c r="H2" s="5">
        <f>GrossROC!F2*WPROC!$C2</f>
        <v>2.8252352912352428E-2</v>
      </c>
      <c r="I2" s="5">
        <f>GrossROC!G2*WPROC!$C2</f>
        <v>3.7024252808526364E-2</v>
      </c>
      <c r="K2" s="7"/>
    </row>
    <row r="3" spans="1:11" x14ac:dyDescent="0.35">
      <c r="A3" s="2" t="s">
        <v>1</v>
      </c>
      <c r="B3" s="2">
        <v>22267</v>
      </c>
      <c r="C3" s="4">
        <f t="shared" ref="C3:C23" si="0">B3/SUM(B$2:B$23)</f>
        <v>3.8755008197605814E-2</v>
      </c>
      <c r="D3" s="5">
        <f>GrossROC!B3*WPROC!$C3</f>
        <v>2.5836672131737209E-3</v>
      </c>
      <c r="E3" s="5">
        <f>GrossROC!C3*WPROC!$C3</f>
        <v>7.0463651268374205E-3</v>
      </c>
      <c r="F3" s="5">
        <f>GrossROC!D3*WPROC!$C3</f>
        <v>1.453312807410218E-2</v>
      </c>
      <c r="G3" s="5">
        <f>GrossROC!E3*WPROC!$C3</f>
        <v>3.3218578455090693E-2</v>
      </c>
      <c r="H3" s="5">
        <f>GrossROC!F3*WPROC!$C3</f>
        <v>4.7698471627822543E-2</v>
      </c>
      <c r="I3" s="5">
        <f>GrossROC!G3*WPROC!$C3</f>
        <v>5.6257269964266506E-2</v>
      </c>
      <c r="K3" s="7"/>
    </row>
    <row r="4" spans="1:11" x14ac:dyDescent="0.35">
      <c r="A4" s="2" t="s">
        <v>2</v>
      </c>
      <c r="B4" s="2">
        <v>23610</v>
      </c>
      <c r="C4" s="4">
        <f t="shared" si="0"/>
        <v>4.1092457158372175E-2</v>
      </c>
      <c r="D4" s="5">
        <f>GrossROC!B4*WPROC!$C4</f>
        <v>2.4655474295023306E-3</v>
      </c>
      <c r="E4" s="5">
        <f>GrossROC!C4*WPROC!$C4</f>
        <v>8.2184914316744354E-3</v>
      </c>
      <c r="F4" s="5">
        <f>GrossROC!D4*WPROC!$C4</f>
        <v>1.8491605721267481E-2</v>
      </c>
      <c r="G4" s="5">
        <f>GrossROC!E4*WPROC!$C4</f>
        <v>4.4379853731041953E-2</v>
      </c>
      <c r="H4" s="5">
        <f>GrossROC!F4*WPROC!$C4</f>
        <v>5.4789942877829567E-2</v>
      </c>
      <c r="I4" s="5">
        <f>GrossROC!G4*WPROC!$C4</f>
        <v>6.4573861248870559E-2</v>
      </c>
      <c r="K4" s="7"/>
    </row>
    <row r="5" spans="1:11" x14ac:dyDescent="0.35">
      <c r="A5" s="2" t="s">
        <v>3</v>
      </c>
      <c r="B5" s="2">
        <v>23737</v>
      </c>
      <c r="C5" s="4">
        <f t="shared" si="0"/>
        <v>4.1313496635674726E-2</v>
      </c>
      <c r="D5" s="5">
        <f>GrossROC!B5*WPROC!$C5</f>
        <v>2.4788097981404836E-3</v>
      </c>
      <c r="E5" s="5">
        <f>GrossROC!C5*WPROC!$C5</f>
        <v>8.262699327134946E-3</v>
      </c>
      <c r="F5" s="5">
        <f>GrossROC!D5*WPROC!$C5</f>
        <v>1.8591073486053628E-2</v>
      </c>
      <c r="G5" s="5">
        <f>GrossROC!E5*WPROC!$C5</f>
        <v>4.461857636652871E-2</v>
      </c>
      <c r="H5" s="5">
        <f>GrossROC!F5*WPROC!$C5</f>
        <v>5.5084662180899635E-2</v>
      </c>
      <c r="I5" s="5">
        <f>GrossROC!G5*WPROC!$C5</f>
        <v>6.4921208998917429E-2</v>
      </c>
      <c r="K5" s="7"/>
    </row>
    <row r="6" spans="1:11" x14ac:dyDescent="0.35">
      <c r="A6" s="2" t="s">
        <v>4</v>
      </c>
      <c r="B6" s="2">
        <v>23184</v>
      </c>
      <c r="C6" s="4">
        <f t="shared" si="0"/>
        <v>4.0351017651829753E-2</v>
      </c>
      <c r="D6" s="5">
        <f>GrossROC!B6*WPROC!$C6</f>
        <v>2.6900678434553169E-3</v>
      </c>
      <c r="E6" s="5">
        <f>GrossROC!C6*WPROC!$C6</f>
        <v>9.4943570945481767E-3</v>
      </c>
      <c r="F6" s="5">
        <f>GrossROC!D6*WPROC!$C6</f>
        <v>1.8341371659922615E-2</v>
      </c>
      <c r="G6" s="5">
        <f>GrossROC!E6*WPROC!$C6</f>
        <v>4.4834464057588619E-2</v>
      </c>
      <c r="H6" s="5">
        <f>GrossROC!F6*WPROC!$C6</f>
        <v>5.6743618572885589E-2</v>
      </c>
      <c r="I6" s="5">
        <f>GrossROC!G6*WPROC!$C6</f>
        <v>6.5434082678642841E-2</v>
      </c>
      <c r="K6" s="7"/>
    </row>
    <row r="7" spans="1:11" x14ac:dyDescent="0.35">
      <c r="A7" s="2" t="s">
        <v>5</v>
      </c>
      <c r="B7" s="2">
        <v>27037</v>
      </c>
      <c r="C7" s="4">
        <f t="shared" si="0"/>
        <v>4.7057042108890661E-2</v>
      </c>
      <c r="D7" s="5">
        <f>GrossROC!B7*WPROC!$C7</f>
        <v>3.3612172934921899E-3</v>
      </c>
      <c r="E7" s="5">
        <f>GrossROC!C7*WPROC!$C7</f>
        <v>9.8035504393522207E-3</v>
      </c>
      <c r="F7" s="5">
        <f>GrossROC!D7*WPROC!$C7</f>
        <v>2.076045975392235E-2</v>
      </c>
      <c r="G7" s="5">
        <f>GrossROC!E7*WPROC!$C7</f>
        <v>4.8126520338638172E-2</v>
      </c>
      <c r="H7" s="5">
        <f>GrossROC!F7*WPROC!$C7</f>
        <v>5.4464169107512339E-2</v>
      </c>
      <c r="I7" s="5">
        <f>GrossROC!G7*WPROC!$C7</f>
        <v>5.514497122135624E-2</v>
      </c>
      <c r="K7" s="7"/>
    </row>
    <row r="8" spans="1:11" x14ac:dyDescent="0.35">
      <c r="A8" s="2" t="s">
        <v>6</v>
      </c>
      <c r="B8" s="2">
        <v>23983</v>
      </c>
      <c r="C8" s="4">
        <f t="shared" si="0"/>
        <v>4.1741651843678097E-2</v>
      </c>
      <c r="D8" s="5">
        <f>GrossROC!B8*WPROC!$C8</f>
        <v>2.981546560262721E-3</v>
      </c>
      <c r="E8" s="5">
        <f>GrossROC!C8*WPROC!$C8</f>
        <v>8.6961774674329372E-3</v>
      </c>
      <c r="F8" s="5">
        <f>GrossROC!D8*WPROC!$C8</f>
        <v>1.8415434636916805E-2</v>
      </c>
      <c r="G8" s="5">
        <f>GrossROC!E8*WPROC!$C8</f>
        <v>4.2690325749216232E-2</v>
      </c>
      <c r="H8" s="5">
        <f>GrossROC!F8*WPROC!$C8</f>
        <v>4.8312097041294098E-2</v>
      </c>
      <c r="I8" s="5">
        <f>GrossROC!G8*WPROC!$C8</f>
        <v>4.8915998254310269E-2</v>
      </c>
      <c r="K8" s="7"/>
    </row>
    <row r="9" spans="1:11" x14ac:dyDescent="0.35">
      <c r="A9" s="2" t="s">
        <v>7</v>
      </c>
      <c r="B9" s="2">
        <v>24458</v>
      </c>
      <c r="C9" s="4">
        <f t="shared" si="0"/>
        <v>4.2568374298156145E-2</v>
      </c>
      <c r="D9" s="5">
        <f>GrossROC!B9*WPROC!$C9</f>
        <v>3.1926280723617107E-3</v>
      </c>
      <c r="E9" s="5">
        <f>GrossROC!C9*WPROC!$C9</f>
        <v>9.8234709918821883E-3</v>
      </c>
      <c r="F9" s="5">
        <f>GrossROC!D9*WPROC!$C9</f>
        <v>2.1284187149078072E-2</v>
      </c>
      <c r="G9" s="5">
        <f>GrossROC!E9*WPROC!$C9</f>
        <v>4.6269972063213198E-2</v>
      </c>
      <c r="H9" s="5">
        <f>GrossROC!F9*WPROC!$C9</f>
        <v>5.3210467872695177E-2</v>
      </c>
      <c r="I9" s="5">
        <f>GrossROC!G9*WPROC!$C9</f>
        <v>5.8047783133849284E-2</v>
      </c>
      <c r="K9" s="7"/>
    </row>
    <row r="10" spans="1:11" x14ac:dyDescent="0.35">
      <c r="A10" s="2" t="s">
        <v>8</v>
      </c>
      <c r="B10" s="2">
        <v>27818</v>
      </c>
      <c r="C10" s="4">
        <f t="shared" si="0"/>
        <v>4.8416347870885099E-2</v>
      </c>
      <c r="D10" s="5">
        <f>GrossROC!B10*WPROC!$C10</f>
        <v>3.7657159455132855E-3</v>
      </c>
      <c r="E10" s="5">
        <f>GrossROC!C10*WPROC!$C10</f>
        <v>1.2104086967721275E-2</v>
      </c>
      <c r="F10" s="5">
        <f>GrossROC!D10*WPROC!$C10</f>
        <v>2.5482288353097418E-2</v>
      </c>
      <c r="G10" s="5">
        <f>GrossROC!E10*WPROC!$C10</f>
        <v>5.5477065268722509E-2</v>
      </c>
      <c r="H10" s="5">
        <f>GrossROC!F10*WPROC!$C10</f>
        <v>6.2607346384765214E-2</v>
      </c>
      <c r="I10" s="5">
        <f>GrossROC!G10*WPROC!$C10</f>
        <v>6.7640485996089475E-2</v>
      </c>
      <c r="K10" s="7"/>
    </row>
    <row r="11" spans="1:11" x14ac:dyDescent="0.35">
      <c r="A11" s="2" t="s">
        <v>9</v>
      </c>
      <c r="B11" s="2">
        <v>29260</v>
      </c>
      <c r="C11" s="4">
        <f t="shared" si="0"/>
        <v>5.0926103195847935E-2</v>
      </c>
      <c r="D11" s="5">
        <f>GrossROC!B11*WPROC!$C11</f>
        <v>3.9609191374548394E-3</v>
      </c>
      <c r="E11" s="5">
        <f>GrossROC!C11*WPROC!$C11</f>
        <v>1.2731525798961984E-2</v>
      </c>
      <c r="F11" s="5">
        <f>GrossROC!D11*WPROC!$C11</f>
        <v>2.6803212208341018E-2</v>
      </c>
      <c r="G11" s="5">
        <f>GrossROC!E11*WPROC!$C11</f>
        <v>5.8352826578575753E-2</v>
      </c>
      <c r="H11" s="5">
        <f>GrossROC!F11*WPROC!$C11</f>
        <v>6.5852719649803368E-2</v>
      </c>
      <c r="I11" s="5">
        <f>GrossROC!G11*WPROC!$C11</f>
        <v>7.1146761817728735E-2</v>
      </c>
      <c r="K11" s="7"/>
    </row>
    <row r="12" spans="1:11" x14ac:dyDescent="0.35">
      <c r="A12" s="2" t="s">
        <v>10</v>
      </c>
      <c r="B12" s="2">
        <v>30193</v>
      </c>
      <c r="C12" s="4">
        <f t="shared" si="0"/>
        <v>5.254996014327535E-2</v>
      </c>
      <c r="D12" s="5">
        <f>GrossROC!B12*WPROC!$C12</f>
        <v>4.2039968114620284E-3</v>
      </c>
      <c r="E12" s="5">
        <f>GrossROC!C12*WPROC!$C12</f>
        <v>1.4013322704873427E-2</v>
      </c>
      <c r="F12" s="5">
        <f>GrossROC!D12*WPROC!$C12</f>
        <v>2.8902478078801443E-2</v>
      </c>
      <c r="G12" s="5">
        <f>GrossROC!E12*WPROC!$C12</f>
        <v>6.3059952171930417E-2</v>
      </c>
      <c r="H12" s="5">
        <f>GrossROC!F12*WPROC!$C12</f>
        <v>7.0066613524367133E-2</v>
      </c>
      <c r="I12" s="5">
        <f>GrossROC!G12*WPROC!$C12</f>
        <v>7.5071371633250505E-2</v>
      </c>
      <c r="K12" s="7"/>
    </row>
    <row r="13" spans="1:11" x14ac:dyDescent="0.35">
      <c r="A13" s="2" t="s">
        <v>11</v>
      </c>
      <c r="B13" s="2">
        <v>28076</v>
      </c>
      <c r="C13" s="4">
        <f t="shared" si="0"/>
        <v>4.8865388698791069E-2</v>
      </c>
      <c r="D13" s="5">
        <f>GrossROC!B13*WPROC!$C13</f>
        <v>3.9980772571738144E-3</v>
      </c>
      <c r="E13" s="5">
        <f>GrossROC!C13*WPROC!$C13</f>
        <v>1.1886175629435666E-2</v>
      </c>
      <c r="F13" s="5">
        <f>GrossROC!D13*WPROC!$C13</f>
        <v>2.3492975335957244E-2</v>
      </c>
      <c r="G13" s="5">
        <f>GrossROC!E13*WPROC!$C13</f>
        <v>5.1053391177841412E-2</v>
      </c>
      <c r="H13" s="5">
        <f>GrossROC!F13*WPROC!$C13</f>
        <v>5.214294525785633E-2</v>
      </c>
      <c r="I13" s="5">
        <f>GrossROC!G13*WPROC!$C13</f>
        <v>5.2895523849206823E-2</v>
      </c>
      <c r="K13" s="7"/>
    </row>
    <row r="14" spans="1:11" x14ac:dyDescent="0.35">
      <c r="A14" s="2" t="s">
        <v>12</v>
      </c>
      <c r="B14" s="2">
        <v>27305</v>
      </c>
      <c r="C14" s="4">
        <f t="shared" si="0"/>
        <v>4.75234876200488E-2</v>
      </c>
      <c r="D14" s="5">
        <f>GrossROC!B14*WPROC!$C14</f>
        <v>3.8882853507312657E-3</v>
      </c>
      <c r="E14" s="5">
        <f>GrossROC!C14*WPROC!$C14</f>
        <v>1.155976725893079E-2</v>
      </c>
      <c r="F14" s="5">
        <f>GrossROC!D14*WPROC!$C14</f>
        <v>2.2847830586561924E-2</v>
      </c>
      <c r="G14" s="5">
        <f>GrossROC!E14*WPROC!$C14</f>
        <v>4.9651404976170384E-2</v>
      </c>
      <c r="H14" s="5">
        <f>GrossROC!F14*WPROC!$C14</f>
        <v>5.0711038618954513E-2</v>
      </c>
      <c r="I14" s="5">
        <f>GrossROC!G14*WPROC!$C14</f>
        <v>5.1442950516547667E-2</v>
      </c>
      <c r="K14" s="7"/>
    </row>
    <row r="15" spans="1:11" x14ac:dyDescent="0.35">
      <c r="A15" s="2" t="s">
        <v>13</v>
      </c>
      <c r="B15" s="2">
        <v>31672</v>
      </c>
      <c r="C15" s="4">
        <f t="shared" si="0"/>
        <v>5.5124112796271219E-2</v>
      </c>
      <c r="D15" s="5">
        <f>GrossROC!B15*WPROC!$C15</f>
        <v>4.5936760663559343E-3</v>
      </c>
      <c r="E15" s="5">
        <f>GrossROC!C15*WPROC!$C15</f>
        <v>1.4134387896479798E-2</v>
      </c>
      <c r="F15" s="5">
        <f>GrossROC!D15*WPROC!$C15</f>
        <v>3.0624507109039568E-2</v>
      </c>
      <c r="G15" s="5">
        <f>GrossROC!E15*WPROC!$C15</f>
        <v>5.9917513908990451E-2</v>
      </c>
      <c r="H15" s="5">
        <f>GrossROC!F15*WPROC!$C15</f>
        <v>6.0702148019703431E-2</v>
      </c>
      <c r="I15" s="5">
        <f>GrossROC!G15*WPROC!$C15</f>
        <v>6.1249014218079136E-2</v>
      </c>
      <c r="K15" s="7"/>
    </row>
    <row r="16" spans="1:11" x14ac:dyDescent="0.35">
      <c r="A16" s="2" t="s">
        <v>14</v>
      </c>
      <c r="B16" s="2">
        <v>26999</v>
      </c>
      <c r="C16" s="4">
        <f t="shared" si="0"/>
        <v>4.6990904312532417E-2</v>
      </c>
      <c r="D16" s="5">
        <f>GrossROC!B16*WPROC!$C16</f>
        <v>3.9761534418296662E-3</v>
      </c>
      <c r="E16" s="5">
        <f>GrossROC!C16*WPROC!$C16</f>
        <v>1.2607315791167235E-2</v>
      </c>
      <c r="F16" s="5">
        <f>GrossROC!D16*WPROC!$C16</f>
        <v>2.7691068612742318E-2</v>
      </c>
      <c r="G16" s="5">
        <f>GrossROC!E16*WPROC!$C16</f>
        <v>5.2947497816937937E-2</v>
      </c>
      <c r="H16" s="5">
        <f>GrossROC!F16*WPROC!$C16</f>
        <v>5.3274571749673379E-2</v>
      </c>
      <c r="I16" s="5">
        <f>GrossROC!G16*WPROC!$C16</f>
        <v>5.3504495009319086E-2</v>
      </c>
      <c r="K16" s="7"/>
    </row>
    <row r="17" spans="1:11" x14ac:dyDescent="0.35">
      <c r="A17" s="2" t="s">
        <v>15</v>
      </c>
      <c r="B17" s="2">
        <v>26929</v>
      </c>
      <c r="C17" s="4">
        <f t="shared" si="0"/>
        <v>4.6869071529767228E-2</v>
      </c>
      <c r="D17" s="5">
        <f>GrossROC!B17*WPROC!$C17</f>
        <v>3.965844514057227E-3</v>
      </c>
      <c r="E17" s="5">
        <f>GrossROC!C17*WPROC!$C17</f>
        <v>1.2574628947010721E-2</v>
      </c>
      <c r="F17" s="5">
        <f>GrossROC!D17*WPROC!$C17</f>
        <v>2.7619274294327117E-2</v>
      </c>
      <c r="G17" s="5">
        <f>GrossROC!E17*WPROC!$C17</f>
        <v>5.2810221441991247E-2</v>
      </c>
      <c r="H17" s="5">
        <f>GrossROC!F17*WPROC!$C17</f>
        <v>5.3136447373864013E-2</v>
      </c>
      <c r="I17" s="5">
        <f>GrossROC!G17*WPROC!$C17</f>
        <v>5.3365774514091392E-2</v>
      </c>
      <c r="K17" s="7"/>
    </row>
    <row r="18" spans="1:11" x14ac:dyDescent="0.35">
      <c r="A18" s="2" t="s">
        <v>16</v>
      </c>
      <c r="B18" s="2">
        <v>26605</v>
      </c>
      <c r="C18" s="4">
        <f t="shared" si="0"/>
        <v>4.6305159792396938E-2</v>
      </c>
      <c r="D18" s="5">
        <f>GrossROC!B18*WPROC!$C18</f>
        <v>3.6382625551169023E-3</v>
      </c>
      <c r="E18" s="5">
        <f>GrossROC!C18*WPROC!$C18</f>
        <v>1.2922370174622401E-2</v>
      </c>
      <c r="F18" s="5">
        <f>GrossROC!D18*WPROC!$C18</f>
        <v>2.8741133664246375E-2</v>
      </c>
      <c r="G18" s="5">
        <f>GrossROC!E18*WPROC!$C18</f>
        <v>5.391696688155808E-2</v>
      </c>
      <c r="H18" s="5">
        <f>GrossROC!F18*WPROC!$C18</f>
        <v>5.3934987258189619E-2</v>
      </c>
      <c r="I18" s="5">
        <f>GrossROC!G18*WPROC!$C18</f>
        <v>5.3947758981433322E-2</v>
      </c>
      <c r="K18" s="7"/>
    </row>
    <row r="19" spans="1:11" x14ac:dyDescent="0.35">
      <c r="A19" s="2" t="s">
        <v>17</v>
      </c>
      <c r="B19" s="2">
        <v>26864</v>
      </c>
      <c r="C19" s="4">
        <f t="shared" si="0"/>
        <v>4.6755941088628128E-2</v>
      </c>
      <c r="D19" s="5">
        <f>GrossROC!B19*WPROC!$C19</f>
        <v>4.0521815610144382E-3</v>
      </c>
      <c r="E19" s="5">
        <f>GrossROC!C19*WPROC!$C19</f>
        <v>1.2156544683043313E-2</v>
      </c>
      <c r="F19" s="5">
        <f>GrossROC!D19*WPROC!$C19</f>
        <v>2.6049738606521388E-2</v>
      </c>
      <c r="G19" s="5">
        <f>GrossROC!E19*WPROC!$C19</f>
        <v>4.6755941088628128E-2</v>
      </c>
      <c r="H19" s="5">
        <f>GrossROC!F19*WPROC!$C19</f>
        <v>4.6755941088628128E-2</v>
      </c>
      <c r="I19" s="5">
        <f>GrossROC!G19*WPROC!$C19</f>
        <v>4.5856788375385274E-2</v>
      </c>
      <c r="K19" s="7"/>
    </row>
    <row r="20" spans="1:11" x14ac:dyDescent="0.35">
      <c r="A20" s="2" t="s">
        <v>18</v>
      </c>
      <c r="B20" s="2">
        <v>25951</v>
      </c>
      <c r="C20" s="4">
        <f t="shared" si="0"/>
        <v>4.5166893507705051E-2</v>
      </c>
      <c r="D20" s="5">
        <f>GrossROC!B20*WPROC!$C20</f>
        <v>3.9144641040011049E-3</v>
      </c>
      <c r="E20" s="5">
        <f>GrossROC!C20*WPROC!$C20</f>
        <v>1.1743392312003314E-2</v>
      </c>
      <c r="F20" s="5">
        <f>GrossROC!D20*WPROC!$C20</f>
        <v>2.5164412097149959E-2</v>
      </c>
      <c r="G20" s="5">
        <f>GrossROC!E20*WPROC!$C20</f>
        <v>4.5166893507705051E-2</v>
      </c>
      <c r="H20" s="5">
        <f>GrossROC!F20*WPROC!$C20</f>
        <v>4.5166893507705051E-2</v>
      </c>
      <c r="I20" s="5">
        <f>GrossROC!G20*WPROC!$C20</f>
        <v>4.4298299401787644E-2</v>
      </c>
      <c r="K20" s="7"/>
    </row>
    <row r="21" spans="1:11" x14ac:dyDescent="0.35">
      <c r="A21" s="2" t="s">
        <v>19</v>
      </c>
      <c r="B21" s="2">
        <v>24775</v>
      </c>
      <c r="C21" s="4">
        <f t="shared" si="0"/>
        <v>4.3120102757249923E-2</v>
      </c>
      <c r="D21" s="5">
        <f>GrossROC!B21*WPROC!$C21</f>
        <v>3.773008991259368E-3</v>
      </c>
      <c r="E21" s="5">
        <f>GrossROC!C21*WPROC!$C21</f>
        <v>1.2438491179975938E-2</v>
      </c>
      <c r="F21" s="5">
        <f>GrossROC!D21*WPROC!$C21</f>
        <v>2.6950064223281202E-2</v>
      </c>
      <c r="G21" s="5">
        <f>GrossROC!E21*WPROC!$C21</f>
        <v>4.686967691005426E-2</v>
      </c>
      <c r="H21" s="5">
        <f>GrossROC!F21*WPROC!$C21</f>
        <v>4.6200110097053486E-2</v>
      </c>
      <c r="I21" s="5">
        <f>GrossROC!G21*WPROC!$C21</f>
        <v>4.5733442318295368E-2</v>
      </c>
      <c r="K21" s="7"/>
    </row>
    <row r="22" spans="1:11" x14ac:dyDescent="0.35">
      <c r="A22" s="2" t="s">
        <v>20</v>
      </c>
      <c r="B22" s="2">
        <v>21164</v>
      </c>
      <c r="C22" s="4">
        <f t="shared" si="0"/>
        <v>3.6835271634891517E-2</v>
      </c>
      <c r="D22" s="5">
        <f>GrossROC!B22*WPROC!$C22</f>
        <v>3.6835271634891517E-3</v>
      </c>
      <c r="E22" s="5">
        <f>GrossROC!C22*WPROC!$C22</f>
        <v>1.1720313702010937E-2</v>
      </c>
      <c r="F22" s="5">
        <f>GrossROC!D22*WPROC!$C22</f>
        <v>2.4556847756594342E-2</v>
      </c>
      <c r="G22" s="5">
        <f>GrossROC!E22*WPROC!$C22</f>
        <v>4.2651367156190181E-2</v>
      </c>
      <c r="H22" s="5">
        <f>GrossROC!F22*WPROC!$C22</f>
        <v>4.1639872282920841E-2</v>
      </c>
      <c r="I22" s="5">
        <f>GrossROC!G22*WPROC!$C22</f>
        <v>4.0928079594323909E-2</v>
      </c>
      <c r="K22" s="7"/>
    </row>
    <row r="23" spans="1:11" x14ac:dyDescent="0.35">
      <c r="A23" s="2" t="s">
        <v>21</v>
      </c>
      <c r="B23" s="2">
        <v>26293</v>
      </c>
      <c r="C23" s="4">
        <f t="shared" si="0"/>
        <v>4.5762133674929248E-2</v>
      </c>
      <c r="D23" s="5">
        <f>GrossROC!B23*WPROC!$C23</f>
        <v>5.720266709366156E-3</v>
      </c>
      <c r="E23" s="5">
        <f>GrossROC!C23*WPROC!$C23</f>
        <v>1.5254044558309749E-2</v>
      </c>
      <c r="F23" s="5">
        <f>GrossROC!D23*WPROC!$C23</f>
        <v>3.4321600256196932E-2</v>
      </c>
      <c r="G23" s="5">
        <f>GrossROC!E23*WPROC!$C23</f>
        <v>6.4066987144900944E-2</v>
      </c>
      <c r="H23" s="5">
        <f>GrossROC!F23*WPROC!$C23</f>
        <v>6.482968937281644E-2</v>
      </c>
      <c r="I23" s="5">
        <f>GrossROC!G23*WPROC!$C23</f>
        <v>6.537447667847035E-2</v>
      </c>
      <c r="K23" s="7"/>
    </row>
    <row r="24" spans="1:11" x14ac:dyDescent="0.35">
      <c r="K24" s="8"/>
    </row>
    <row r="25" spans="1:11" x14ac:dyDescent="0.35">
      <c r="K25" s="8"/>
    </row>
    <row r="26" spans="1:11" x14ac:dyDescent="0.35">
      <c r="K26" s="8"/>
    </row>
    <row r="27" spans="1:11" x14ac:dyDescent="0.35">
      <c r="K27" s="8"/>
    </row>
    <row r="28" spans="1:11" x14ac:dyDescent="0.35">
      <c r="K28" s="8"/>
    </row>
    <row r="29" spans="1:11" x14ac:dyDescent="0.35">
      <c r="K29" s="8"/>
    </row>
  </sheetData>
  <conditionalFormatting sqref="D2:I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5971-9E07-486C-8589-424311632A1B}">
  <dimension ref="A1:I24"/>
  <sheetViews>
    <sheetView workbookViewId="0">
      <selection activeCell="C1" sqref="C1"/>
    </sheetView>
  </sheetViews>
  <sheetFormatPr defaultRowHeight="14.5" x14ac:dyDescent="0.35"/>
  <cols>
    <col min="1" max="2" width="20" customWidth="1"/>
    <col min="3" max="3" width="11" customWidth="1"/>
    <col min="4" max="8" width="10.90625" customWidth="1"/>
  </cols>
  <sheetData>
    <row r="1" spans="1:9" x14ac:dyDescent="0.35">
      <c r="A1" s="2"/>
      <c r="B1" s="2" t="s">
        <v>28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spans="1:9" x14ac:dyDescent="0.35">
      <c r="A2" s="2" t="s">
        <v>0</v>
      </c>
      <c r="B2" s="4"/>
      <c r="C2" s="3"/>
      <c r="D2" s="3"/>
      <c r="E2" s="3"/>
      <c r="F2" s="3"/>
      <c r="G2" s="3"/>
      <c r="H2" s="3"/>
      <c r="I2" s="4">
        <f t="shared" ref="I2:I23" ca="1" si="0">H2/SUM($B$2:$W$2)</f>
        <v>4.5910073482572693E-2</v>
      </c>
    </row>
    <row r="3" spans="1:9" x14ac:dyDescent="0.35">
      <c r="A3" s="2" t="s">
        <v>1</v>
      </c>
      <c r="B3" s="4"/>
      <c r="C3" s="3"/>
      <c r="D3" s="3"/>
      <c r="E3" s="3"/>
      <c r="F3" s="3"/>
      <c r="G3" s="3"/>
      <c r="H3" s="3"/>
      <c r="I3" s="4">
        <f t="shared" ca="1" si="0"/>
        <v>3.8755008197605814E-2</v>
      </c>
    </row>
    <row r="4" spans="1:9" x14ac:dyDescent="0.35">
      <c r="A4" s="2" t="s">
        <v>2</v>
      </c>
      <c r="B4" s="4"/>
      <c r="C4" s="3"/>
      <c r="D4" s="3"/>
      <c r="E4" s="3"/>
      <c r="F4" s="3"/>
      <c r="G4" s="3"/>
      <c r="H4" s="3"/>
      <c r="I4" s="4">
        <f t="shared" ca="1" si="0"/>
        <v>4.1092457158372175E-2</v>
      </c>
    </row>
    <row r="5" spans="1:9" x14ac:dyDescent="0.35">
      <c r="A5" s="2" t="s">
        <v>3</v>
      </c>
      <c r="B5" s="4"/>
      <c r="C5" s="3"/>
      <c r="D5" s="3"/>
      <c r="E5" s="3"/>
      <c r="F5" s="3"/>
      <c r="G5" s="3"/>
      <c r="H5" s="3"/>
      <c r="I5" s="4">
        <f t="shared" ca="1" si="0"/>
        <v>4.1313496635674726E-2</v>
      </c>
    </row>
    <row r="6" spans="1:9" x14ac:dyDescent="0.35">
      <c r="A6" s="2" t="s">
        <v>4</v>
      </c>
      <c r="B6" s="4"/>
      <c r="C6" s="3"/>
      <c r="D6" s="3"/>
      <c r="E6" s="3"/>
      <c r="F6" s="3"/>
      <c r="G6" s="3"/>
      <c r="H6" s="3"/>
      <c r="I6" s="4">
        <f t="shared" ca="1" si="0"/>
        <v>4.0351017651829753E-2</v>
      </c>
    </row>
    <row r="7" spans="1:9" x14ac:dyDescent="0.35">
      <c r="A7" s="2" t="s">
        <v>5</v>
      </c>
      <c r="B7" s="4"/>
      <c r="C7" s="3"/>
      <c r="D7" s="3"/>
      <c r="E7" s="3"/>
      <c r="F7" s="3"/>
      <c r="G7" s="3"/>
      <c r="H7" s="3"/>
      <c r="I7" s="4">
        <f t="shared" ca="1" si="0"/>
        <v>4.7057042108890661E-2</v>
      </c>
    </row>
    <row r="8" spans="1:9" x14ac:dyDescent="0.35">
      <c r="A8" s="2" t="s">
        <v>6</v>
      </c>
      <c r="B8" s="4"/>
      <c r="C8" s="3"/>
      <c r="D8" s="3"/>
      <c r="E8" s="3"/>
      <c r="F8" s="3"/>
      <c r="G8" s="3"/>
      <c r="H8" s="3"/>
      <c r="I8" s="4">
        <f t="shared" ca="1" si="0"/>
        <v>4.1741651843678097E-2</v>
      </c>
    </row>
    <row r="9" spans="1:9" x14ac:dyDescent="0.35">
      <c r="A9" s="2" t="s">
        <v>7</v>
      </c>
      <c r="B9" s="4"/>
      <c r="C9" s="3"/>
      <c r="D9" s="3"/>
      <c r="E9" s="3"/>
      <c r="F9" s="3"/>
      <c r="G9" s="3"/>
      <c r="H9" s="3"/>
      <c r="I9" s="4">
        <f t="shared" ca="1" si="0"/>
        <v>4.2568374298156145E-2</v>
      </c>
    </row>
    <row r="10" spans="1:9" x14ac:dyDescent="0.35">
      <c r="A10" s="2" t="s">
        <v>8</v>
      </c>
      <c r="B10" s="4"/>
      <c r="C10" s="3"/>
      <c r="D10" s="3"/>
      <c r="E10" s="3"/>
      <c r="F10" s="3"/>
      <c r="G10" s="3"/>
      <c r="H10" s="3"/>
      <c r="I10" s="4">
        <f t="shared" ca="1" si="0"/>
        <v>4.8416347870885099E-2</v>
      </c>
    </row>
    <row r="11" spans="1:9" x14ac:dyDescent="0.35">
      <c r="A11" s="2" t="s">
        <v>9</v>
      </c>
      <c r="B11" s="4"/>
      <c r="C11" s="3"/>
      <c r="D11" s="3"/>
      <c r="E11" s="3"/>
      <c r="F11" s="3"/>
      <c r="G11" s="3"/>
      <c r="H11" s="3"/>
      <c r="I11" s="4">
        <f t="shared" ca="1" si="0"/>
        <v>5.0926103195847935E-2</v>
      </c>
    </row>
    <row r="12" spans="1:9" x14ac:dyDescent="0.35">
      <c r="A12" s="2" t="s">
        <v>10</v>
      </c>
      <c r="B12" s="4"/>
      <c r="C12" s="3"/>
      <c r="D12" s="3"/>
      <c r="E12" s="3"/>
      <c r="F12" s="3"/>
      <c r="G12" s="3"/>
      <c r="H12" s="3"/>
      <c r="I12" s="4">
        <f t="shared" ca="1" si="0"/>
        <v>5.254996014327535E-2</v>
      </c>
    </row>
    <row r="13" spans="1:9" x14ac:dyDescent="0.35">
      <c r="A13" s="2" t="s">
        <v>11</v>
      </c>
      <c r="B13" s="4"/>
      <c r="C13" s="3"/>
      <c r="D13" s="3"/>
      <c r="E13" s="3"/>
      <c r="F13" s="3"/>
      <c r="G13" s="3"/>
      <c r="H13" s="3"/>
      <c r="I13" s="4">
        <f t="shared" ca="1" si="0"/>
        <v>4.8865388698791069E-2</v>
      </c>
    </row>
    <row r="14" spans="1:9" x14ac:dyDescent="0.35">
      <c r="A14" s="2" t="s">
        <v>12</v>
      </c>
      <c r="B14" s="4"/>
      <c r="C14" s="3"/>
      <c r="D14" s="3"/>
      <c r="E14" s="3"/>
      <c r="F14" s="3"/>
      <c r="G14" s="3"/>
      <c r="H14" s="3"/>
      <c r="I14" s="4">
        <f t="shared" ca="1" si="0"/>
        <v>4.75234876200488E-2</v>
      </c>
    </row>
    <row r="15" spans="1:9" x14ac:dyDescent="0.35">
      <c r="A15" s="2" t="s">
        <v>13</v>
      </c>
      <c r="B15" s="4"/>
      <c r="C15" s="3"/>
      <c r="D15" s="3"/>
      <c r="E15" s="3"/>
      <c r="F15" s="3"/>
      <c r="G15" s="3"/>
      <c r="H15" s="3"/>
      <c r="I15" s="4">
        <f t="shared" ca="1" si="0"/>
        <v>5.5124112796271219E-2</v>
      </c>
    </row>
    <row r="16" spans="1:9" x14ac:dyDescent="0.35">
      <c r="A16" s="2" t="s">
        <v>14</v>
      </c>
      <c r="B16" s="4"/>
      <c r="C16" s="3"/>
      <c r="D16" s="3"/>
      <c r="E16" s="3"/>
      <c r="F16" s="3"/>
      <c r="G16" s="3"/>
      <c r="H16" s="3"/>
      <c r="I16" s="4">
        <f t="shared" ca="1" si="0"/>
        <v>4.6990904312532417E-2</v>
      </c>
    </row>
    <row r="17" spans="1:9" x14ac:dyDescent="0.35">
      <c r="A17" s="2" t="s">
        <v>15</v>
      </c>
      <c r="B17" s="4"/>
      <c r="C17" s="3"/>
      <c r="D17" s="3"/>
      <c r="E17" s="3"/>
      <c r="F17" s="3"/>
      <c r="G17" s="3"/>
      <c r="H17" s="3"/>
      <c r="I17" s="4">
        <f t="shared" ca="1" si="0"/>
        <v>4.6869071529767228E-2</v>
      </c>
    </row>
    <row r="18" spans="1:9" x14ac:dyDescent="0.35">
      <c r="A18" s="2" t="s">
        <v>16</v>
      </c>
      <c r="B18" s="4"/>
      <c r="C18" s="3"/>
      <c r="D18" s="3"/>
      <c r="E18" s="3"/>
      <c r="F18" s="3"/>
      <c r="G18" s="3"/>
      <c r="H18" s="3"/>
      <c r="I18" s="4">
        <f t="shared" ca="1" si="0"/>
        <v>4.6305159792396938E-2</v>
      </c>
    </row>
    <row r="19" spans="1:9" x14ac:dyDescent="0.35">
      <c r="A19" s="2" t="s">
        <v>17</v>
      </c>
      <c r="B19" s="4"/>
      <c r="C19" s="3"/>
      <c r="D19" s="3"/>
      <c r="E19" s="3"/>
      <c r="F19" s="3"/>
      <c r="G19" s="3"/>
      <c r="H19" s="3"/>
      <c r="I19" s="4">
        <f t="shared" ca="1" si="0"/>
        <v>4.6755941088628128E-2</v>
      </c>
    </row>
    <row r="20" spans="1:9" x14ac:dyDescent="0.35">
      <c r="A20" s="2" t="s">
        <v>18</v>
      </c>
      <c r="B20" s="4"/>
      <c r="C20" s="3"/>
      <c r="D20" s="3"/>
      <c r="E20" s="3"/>
      <c r="F20" s="3"/>
      <c r="G20" s="3"/>
      <c r="H20" s="3"/>
      <c r="I20" s="4">
        <f t="shared" ca="1" si="0"/>
        <v>4.5166893507705051E-2</v>
      </c>
    </row>
    <row r="21" spans="1:9" x14ac:dyDescent="0.35">
      <c r="A21" s="2" t="s">
        <v>19</v>
      </c>
      <c r="B21" s="4"/>
      <c r="C21" s="3"/>
      <c r="D21" s="3"/>
      <c r="E21" s="3"/>
      <c r="F21" s="3"/>
      <c r="G21" s="3"/>
      <c r="H21" s="3"/>
      <c r="I21" s="4">
        <f t="shared" ca="1" si="0"/>
        <v>4.3120102757249923E-2</v>
      </c>
    </row>
    <row r="22" spans="1:9" x14ac:dyDescent="0.35">
      <c r="A22" s="2" t="s">
        <v>20</v>
      </c>
      <c r="B22" s="4"/>
      <c r="C22" s="3"/>
      <c r="D22" s="3"/>
      <c r="E22" s="3"/>
      <c r="F22" s="3"/>
      <c r="G22" s="3"/>
      <c r="H22" s="3"/>
      <c r="I22" s="4">
        <f t="shared" ca="1" si="0"/>
        <v>3.6835271634891517E-2</v>
      </c>
    </row>
    <row r="23" spans="1:9" x14ac:dyDescent="0.35">
      <c r="A23" s="2" t="s">
        <v>21</v>
      </c>
      <c r="B23" s="4"/>
      <c r="C23" s="3"/>
      <c r="D23" s="3"/>
      <c r="E23" s="3"/>
      <c r="F23" s="3"/>
      <c r="G23" s="3"/>
      <c r="H23" s="3"/>
      <c r="I23" s="4">
        <f t="shared" ca="1" si="0"/>
        <v>4.5762133674929248E-2</v>
      </c>
    </row>
    <row r="24" spans="1:9" x14ac:dyDescent="0.35">
      <c r="B24" s="4"/>
      <c r="I24" s="4"/>
    </row>
  </sheetData>
  <conditionalFormatting sqref="C2: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Rents</vt:lpstr>
      <vt:lpstr>GrossROC</vt:lpstr>
      <vt:lpstr>WPROC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Guéranger</dc:creator>
  <cp:lastModifiedBy>Esteban Guéranger</cp:lastModifiedBy>
  <dcterms:created xsi:type="dcterms:W3CDTF">2025-12-26T10:00:18Z</dcterms:created>
  <dcterms:modified xsi:type="dcterms:W3CDTF">2026-10-14T09:08:22Z</dcterms:modified>
</cp:coreProperties>
</file>